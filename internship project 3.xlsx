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ivotTable" sheetId="3" r:id="rId1"/>
    <sheet name="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<sst xmlns="http://schemas.openxmlformats.org/spreadsheetml/2006/main" count="1418" uniqueCount="1169">
  <si>
    <t>Price Category</t>
  </si>
  <si>
    <t>$0-$50</t>
  </si>
  <si>
    <t>Coin Name</t>
  </si>
  <si>
    <t>Sum of Volume_Num</t>
  </si>
  <si>
    <t>Tether</t>
  </si>
  <si>
    <t>USDC</t>
  </si>
  <si>
    <t>XRP</t>
  </si>
  <si>
    <t>Dogecoin</t>
  </si>
  <si>
    <t>Cardano</t>
  </si>
  <si>
    <t>TRON</t>
  </si>
  <si>
    <t>Zcash</t>
  </si>
  <si>
    <t>MetYa</t>
  </si>
  <si>
    <t>Ripple USD</t>
  </si>
  <si>
    <t>Others</t>
  </si>
  <si>
    <t>Fasttoken</t>
  </si>
  <si>
    <t>Roam</t>
  </si>
  <si>
    <t>StablR USD</t>
  </si>
  <si>
    <t>NodeOps</t>
  </si>
  <si>
    <t>Falcon USD</t>
  </si>
  <si>
    <t>BitTorrent [New]</t>
  </si>
  <si>
    <t>AB</t>
  </si>
  <si>
    <t>Bounce Token</t>
  </si>
  <si>
    <t>Decentraland</t>
  </si>
  <si>
    <t>Jupiter Perps LP</t>
  </si>
  <si>
    <t>Pyth Network</t>
  </si>
  <si>
    <t>BUILDon</t>
  </si>
  <si>
    <t>Flow</t>
  </si>
  <si>
    <t>Walrus</t>
  </si>
  <si>
    <t>Origin Protocol</t>
  </si>
  <si>
    <t>ARPA</t>
  </si>
  <si>
    <t>Goatseus Maximus</t>
  </si>
  <si>
    <t>Sophon</t>
  </si>
  <si>
    <t>Build On BNB</t>
  </si>
  <si>
    <t>Enjin Coin</t>
  </si>
  <si>
    <t>deBridge</t>
  </si>
  <si>
    <t>Babylon</t>
  </si>
  <si>
    <t>Status</t>
  </si>
  <si>
    <t>Comedian</t>
  </si>
  <si>
    <t>XPIN Network</t>
  </si>
  <si>
    <t>Renzo</t>
  </si>
  <si>
    <t>Vulcan Forged (PYR)</t>
  </si>
  <si>
    <t>dYdX (ethDYDX)</t>
  </si>
  <si>
    <t>XION</t>
  </si>
  <si>
    <t>Vana</t>
  </si>
  <si>
    <t>Definitive</t>
  </si>
  <si>
    <t>Apertum</t>
  </si>
  <si>
    <t>ArchLoot</t>
  </si>
  <si>
    <t>Yala</t>
  </si>
  <si>
    <t>Biswap</t>
  </si>
  <si>
    <t>AKEDO</t>
  </si>
  <si>
    <t>AUSD</t>
  </si>
  <si>
    <t>Fair and Free</t>
  </si>
  <si>
    <t>Loaded Lions</t>
  </si>
  <si>
    <t>Polyhedra Network</t>
  </si>
  <si>
    <t>Aleo</t>
  </si>
  <si>
    <t>Tanssi</t>
  </si>
  <si>
    <t>DeXe</t>
  </si>
  <si>
    <t>Audius</t>
  </si>
  <si>
    <t>PlatON</t>
  </si>
  <si>
    <t>WOO</t>
  </si>
  <si>
    <t>PublicAI</t>
  </si>
  <si>
    <t>Jerry The Turtle By Matt Furie</t>
  </si>
  <si>
    <t>Global Dollar</t>
  </si>
  <si>
    <t>OLAXBT</t>
  </si>
  <si>
    <t>Acala Token</t>
  </si>
  <si>
    <t>Moby</t>
  </si>
  <si>
    <t>Celer Network</t>
  </si>
  <si>
    <t>Bulla</t>
  </si>
  <si>
    <t>Ardor</t>
  </si>
  <si>
    <t>SIX Token</t>
  </si>
  <si>
    <t>Usual USD</t>
  </si>
  <si>
    <t>Beldex</t>
  </si>
  <si>
    <t>Ark</t>
  </si>
  <si>
    <t>pSTAKE Finance</t>
  </si>
  <si>
    <t>Velvet</t>
  </si>
  <si>
    <t>Wibegram</t>
  </si>
  <si>
    <t>Kekius Maximus (kekiusmaximus.vip)</t>
  </si>
  <si>
    <t>ORBIT</t>
  </si>
  <si>
    <t>Gains Network</t>
  </si>
  <si>
    <t>Polymesh</t>
  </si>
  <si>
    <t>Boom</t>
  </si>
  <si>
    <t>B3 (Base)</t>
  </si>
  <si>
    <t>Push Protocol</t>
  </si>
  <si>
    <t>Steem Dollars</t>
  </si>
  <si>
    <t>CreatorBid</t>
  </si>
  <si>
    <t>RCADE</t>
  </si>
  <si>
    <t>Hosico</t>
  </si>
  <si>
    <t>Fuel Network</t>
  </si>
  <si>
    <t>Vision</t>
  </si>
  <si>
    <t>Ondo US Dollar Yield</t>
  </si>
  <si>
    <t>Metal DAO</t>
  </si>
  <si>
    <t>CLV</t>
  </si>
  <si>
    <t>SIGMA</t>
  </si>
  <si>
    <t>Startup</t>
  </si>
  <si>
    <t>Zero1 Labs</t>
  </si>
  <si>
    <t>CrossFi</t>
  </si>
  <si>
    <t>LinqAI</t>
  </si>
  <si>
    <t>STAT</t>
  </si>
  <si>
    <t>Infinitar</t>
  </si>
  <si>
    <t>Symbol</t>
  </si>
  <si>
    <t>Cross The Ages</t>
  </si>
  <si>
    <t>Alvara Protocol</t>
  </si>
  <si>
    <t>Lumera Health</t>
  </si>
  <si>
    <t>Vita Inu</t>
  </si>
  <si>
    <t>Nitro</t>
  </si>
  <si>
    <t>Rezor</t>
  </si>
  <si>
    <t>GAM3S.GG</t>
  </si>
  <si>
    <t>Alpaca Finance</t>
  </si>
  <si>
    <t>XPLA</t>
  </si>
  <si>
    <t>Pain (paintoken.com)</t>
  </si>
  <si>
    <t>HODL Coin</t>
  </si>
  <si>
    <t>PepeCoin</t>
  </si>
  <si>
    <t>Troll (troll.run)</t>
  </si>
  <si>
    <t>Amaterasu Omikami</t>
  </si>
  <si>
    <t>Frodo the virtual samurai</t>
  </si>
  <si>
    <t>Elixir deUSD</t>
  </si>
  <si>
    <t>OVR</t>
  </si>
  <si>
    <t>Autonolas</t>
  </si>
  <si>
    <t>MSTR2100</t>
  </si>
  <si>
    <t>Zeebu</t>
  </si>
  <si>
    <t>fanC</t>
  </si>
  <si>
    <t>Suku</t>
  </si>
  <si>
    <t>BIM</t>
  </si>
  <si>
    <t>Upland (SPARKLET)</t>
  </si>
  <si>
    <t>TrustSwap</t>
  </si>
  <si>
    <t>Decentrawood</t>
  </si>
  <si>
    <t>The Nation Token</t>
  </si>
  <si>
    <t>Tectonic</t>
  </si>
  <si>
    <t>Stride</t>
  </si>
  <si>
    <t>ZUSD</t>
  </si>
  <si>
    <t>Celsius</t>
  </si>
  <si>
    <t>Radix</t>
  </si>
  <si>
    <t>Everscale</t>
  </si>
  <si>
    <t>Cere Network</t>
  </si>
  <si>
    <t>Games for a Living</t>
  </si>
  <si>
    <t>MarsDAO</t>
  </si>
  <si>
    <t>Fluence</t>
  </si>
  <si>
    <t>Metadium</t>
  </si>
  <si>
    <t>Panda Swap</t>
  </si>
  <si>
    <t>MetFi</t>
  </si>
  <si>
    <t>AIHub</t>
  </si>
  <si>
    <t>Mysterium</t>
  </si>
  <si>
    <t>IVPAY</t>
  </si>
  <si>
    <t>Prosper</t>
  </si>
  <si>
    <t>Q Protocol</t>
  </si>
  <si>
    <t>Beam</t>
  </si>
  <si>
    <t>Izumi Finance</t>
  </si>
  <si>
    <t>Bellscoin</t>
  </si>
  <si>
    <t>Solchat</t>
  </si>
  <si>
    <t>Plearn</t>
  </si>
  <si>
    <t>Sentinel</t>
  </si>
  <si>
    <t>Baby Grok (babygrok.ai)</t>
  </si>
  <si>
    <t>Harold</t>
  </si>
  <si>
    <t>Tornado Cash</t>
  </si>
  <si>
    <t>Ampleforth</t>
  </si>
  <si>
    <t>ADAMANT Messenger</t>
  </si>
  <si>
    <t>Expand</t>
  </si>
  <si>
    <t>Peercoin</t>
  </si>
  <si>
    <t>Epic Cash</t>
  </si>
  <si>
    <t>Alkimi</t>
  </si>
  <si>
    <t>ABBC Coin</t>
  </si>
  <si>
    <t>Carnomaly</t>
  </si>
  <si>
    <t>Cypherium</t>
  </si>
  <si>
    <t>Messiah</t>
  </si>
  <si>
    <t>Agoras: Tau Net</t>
  </si>
  <si>
    <t>Quantum Resistant Ledger</t>
  </si>
  <si>
    <t>Free Palestine</t>
  </si>
  <si>
    <t>Baanx</t>
  </si>
  <si>
    <t>Lion Cat</t>
  </si>
  <si>
    <t>Tune.FM</t>
  </si>
  <si>
    <t>Stonks</t>
  </si>
  <si>
    <t>BasedAI</t>
  </si>
  <si>
    <t>Tokenlon Network Token</t>
  </si>
  <si>
    <t>Patriot</t>
  </si>
  <si>
    <t>STUFF.io</t>
  </si>
  <si>
    <t>LABEL AI</t>
  </si>
  <si>
    <t>aixCB by Virtuals</t>
  </si>
  <si>
    <t>Project WITH</t>
  </si>
  <si>
    <t>Partisia Blockchain</t>
  </si>
  <si>
    <t>Shiba Predator</t>
  </si>
  <si>
    <t>Xaya</t>
  </si>
  <si>
    <t>Magpie</t>
  </si>
  <si>
    <t>PRIZM</t>
  </si>
  <si>
    <t>Neutrino Index</t>
  </si>
  <si>
    <t>GYEN</t>
  </si>
  <si>
    <t>Etherisc DIP Token</t>
  </si>
  <si>
    <t>Counterparty</t>
  </si>
  <si>
    <t>Wrapped ONUS</t>
  </si>
  <si>
    <t>WHALE</t>
  </si>
  <si>
    <t>Venus DAI</t>
  </si>
  <si>
    <t>TypeAI</t>
  </si>
  <si>
    <t>Tiger Shark</t>
  </si>
  <si>
    <t>Solend</t>
  </si>
  <si>
    <t>Orbit Chain</t>
  </si>
  <si>
    <t>ICHI</t>
  </si>
  <si>
    <t>Hoge Finance</t>
  </si>
  <si>
    <t>Gemach</t>
  </si>
  <si>
    <t>DeFi Kingdoms</t>
  </si>
  <si>
    <t>CatSlap</t>
  </si>
  <si>
    <t>BitForex Token</t>
  </si>
  <si>
    <t>Grand Total</t>
  </si>
  <si>
    <t>Price (USD)</t>
  </si>
  <si>
    <t>1h Change (%)</t>
  </si>
  <si>
    <t>Market Cap</t>
  </si>
  <si>
    <t>Volume (24h) USD</t>
  </si>
  <si>
    <t>Circulating Supply</t>
  </si>
  <si>
    <t>Price_Num</t>
  </si>
  <si>
    <t>Volume_Num</t>
  </si>
  <si>
    <t>Bitcoin</t>
  </si>
  <si>
    <t>BTC</t>
  </si>
  <si>
    <t>$112,396.23</t>
  </si>
  <si>
    <t>$2,236,591,973,065</t>
  </si>
  <si>
    <t>$61,196,410,006</t>
  </si>
  <si>
    <t>19.91M</t>
  </si>
  <si>
    <t>Ethereum</t>
  </si>
  <si>
    <t>ETH</t>
  </si>
  <si>
    <t>$4,631.69</t>
  </si>
  <si>
    <t>$558,774,287,294</t>
  </si>
  <si>
    <t>$43,714,609,700</t>
  </si>
  <si>
    <t>120.7M</t>
  </si>
  <si>
    <t>$3.02</t>
  </si>
  <si>
    <t>$179,761,935,139</t>
  </si>
  <si>
    <t>$6,447,508,710</t>
  </si>
  <si>
    <t>59.48B</t>
  </si>
  <si>
    <t>USDT</t>
  </si>
  <si>
    <t>$1.00</t>
  </si>
  <si>
    <t>$167,211,922,205</t>
  </si>
  <si>
    <t>$117,252,093,277</t>
  </si>
  <si>
    <t>167.2B</t>
  </si>
  <si>
    <t>BNB</t>
  </si>
  <si>
    <t>$864.91</t>
  </si>
  <si>
    <t>$120,460,279,991</t>
  </si>
  <si>
    <t>$2,278,674,127</t>
  </si>
  <si>
    <t>139.28M</t>
  </si>
  <si>
    <t>Solana</t>
  </si>
  <si>
    <t>SOL</t>
  </si>
  <si>
    <t>$208.97</t>
  </si>
  <si>
    <t>$112,989,075,044</t>
  </si>
  <si>
    <t>$10,127,054,144</t>
  </si>
  <si>
    <t>540.67M</t>
  </si>
  <si>
    <t>$0.9997</t>
  </si>
  <si>
    <t>$69,140,705,171</t>
  </si>
  <si>
    <t>$17,027,792,821</t>
  </si>
  <si>
    <t>69.15B</t>
  </si>
  <si>
    <t>DOGE</t>
  </si>
  <si>
    <t>$0.2217</t>
  </si>
  <si>
    <t>$33,418,883,909</t>
  </si>
  <si>
    <t>$1,961,967,012</t>
  </si>
  <si>
    <t>150.69B</t>
  </si>
  <si>
    <t>TRX</t>
  </si>
  <si>
    <t>$0.3502</t>
  </si>
  <si>
    <t>$33,151,724,508</t>
  </si>
  <si>
    <t>$973,139,421</t>
  </si>
  <si>
    <t>94.66B</t>
  </si>
  <si>
    <t>ADA</t>
  </si>
  <si>
    <t>$0.8693</t>
  </si>
  <si>
    <t>$31,055,700,401</t>
  </si>
  <si>
    <t>$1,153,461,846</t>
  </si>
  <si>
    <t>35.72B</t>
  </si>
  <si>
    <t>RLUSD</t>
  </si>
  <si>
    <t>$0.9995</t>
  </si>
  <si>
    <t>$687,657,857</t>
  </si>
  <si>
    <t>$64,711,407</t>
  </si>
  <si>
    <t>687.95M</t>
  </si>
  <si>
    <t>ZEC</t>
  </si>
  <si>
    <t>$42.45</t>
  </si>
  <si>
    <t>$687,228,061</t>
  </si>
  <si>
    <t>$71,132,312</t>
  </si>
  <si>
    <t>16.18M</t>
  </si>
  <si>
    <t>$0.009181</t>
  </si>
  <si>
    <t>$683,949,558</t>
  </si>
  <si>
    <t>$29,038,108</t>
  </si>
  <si>
    <t>74.48B</t>
  </si>
  <si>
    <t>PYTH</t>
  </si>
  <si>
    <t>$0.1171</t>
  </si>
  <si>
    <t>$673,440,961</t>
  </si>
  <si>
    <t>$24,411,942</t>
  </si>
  <si>
    <t>5.74B</t>
  </si>
  <si>
    <t>BTT</t>
  </si>
  <si>
    <t>$0.066662</t>
  </si>
  <si>
    <t>$656,968,217</t>
  </si>
  <si>
    <t>$29,706,225</t>
  </si>
  <si>
    <t>986.06T</t>
  </si>
  <si>
    <t>FLOW</t>
  </si>
  <si>
    <t>$0.3909</t>
  </si>
  <si>
    <t>$626,962,319</t>
  </si>
  <si>
    <t>$21,684,159</t>
  </si>
  <si>
    <t>1.6B</t>
  </si>
  <si>
    <t>DEXE</t>
  </si>
  <si>
    <t>$7.42</t>
  </si>
  <si>
    <t>$621,864,440</t>
  </si>
  <si>
    <t>$7,491,105</t>
  </si>
  <si>
    <t>83.73M</t>
  </si>
  <si>
    <t>B</t>
  </si>
  <si>
    <t>$0.5774</t>
  </si>
  <si>
    <t>$577,405,381</t>
  </si>
  <si>
    <t>$23,722,335</t>
  </si>
  <si>
    <t>1B</t>
  </si>
  <si>
    <t>WAL</t>
  </si>
  <si>
    <t>$0.4049</t>
  </si>
  <si>
    <t>$572,387,192</t>
  </si>
  <si>
    <t>$19,083,906</t>
  </si>
  <si>
    <t>1.41B</t>
  </si>
  <si>
    <t>MANA</t>
  </si>
  <si>
    <t>$0.2882</t>
  </si>
  <si>
    <t>$567,782,071</t>
  </si>
  <si>
    <t>$27,296,450</t>
  </si>
  <si>
    <t>1.96B</t>
  </si>
  <si>
    <t>FTN</t>
  </si>
  <si>
    <t>$4.54</t>
  </si>
  <si>
    <t>$1,982,420,729</t>
  </si>
  <si>
    <t>$64,466,358</t>
  </si>
  <si>
    <t>436.26M</t>
  </si>
  <si>
    <t>JLP</t>
  </si>
  <si>
    <t>$5.48</t>
  </si>
  <si>
    <t>$1,955,931,785</t>
  </si>
  <si>
    <t>$26,985,300</t>
  </si>
  <si>
    <t>356.55M</t>
  </si>
  <si>
    <t>USDf</t>
  </si>
  <si>
    <t>$1,253,095,193</t>
  </si>
  <si>
    <t>$30,789,467</t>
  </si>
  <si>
    <t>1.25B</t>
  </si>
  <si>
    <t>LION</t>
  </si>
  <si>
    <t>$0.02395</t>
  </si>
  <si>
    <t>$738,956,737</t>
  </si>
  <si>
    <t>$8,289,454</t>
  </si>
  <si>
    <t>30.84B</t>
  </si>
  <si>
    <t>USDY</t>
  </si>
  <si>
    <t>$1.10</t>
  </si>
  <si>
    <t>$691,597,867</t>
  </si>
  <si>
    <t>$1,338,625</t>
  </si>
  <si>
    <t>626.67M</t>
  </si>
  <si>
    <t>USD0</t>
  </si>
  <si>
    <t>$0.9983</t>
  </si>
  <si>
    <t>$642,088,143</t>
  </si>
  <si>
    <t>$4,463,129</t>
  </si>
  <si>
    <t>643.12M</t>
  </si>
  <si>
    <t>VSN</t>
  </si>
  <si>
    <t>$0.1745</t>
  </si>
  <si>
    <t>$607,020,903</t>
  </si>
  <si>
    <t>$1,377,265</t>
  </si>
  <si>
    <t>3.47B</t>
  </si>
  <si>
    <t>BDX</t>
  </si>
  <si>
    <t>$0.07629</t>
  </si>
  <si>
    <t>$545,355,889</t>
  </si>
  <si>
    <t>$4,396,792</t>
  </si>
  <si>
    <t>7.14B</t>
  </si>
  <si>
    <t>USDG</t>
  </si>
  <si>
    <t>$0.9998</t>
  </si>
  <si>
    <t>$538,269,461</t>
  </si>
  <si>
    <t>$5,715,956</t>
  </si>
  <si>
    <t>538.36M</t>
  </si>
  <si>
    <t>ZBU</t>
  </si>
  <si>
    <t>$1.94</t>
  </si>
  <si>
    <t>$503,419,749</t>
  </si>
  <si>
    <t>$325,843</t>
  </si>
  <si>
    <t>258.97M</t>
  </si>
  <si>
    <t>$0.07137</t>
  </si>
  <si>
    <t>$136,125,306</t>
  </si>
  <si>
    <t>$6,721,454</t>
  </si>
  <si>
    <t>1.9B</t>
  </si>
  <si>
    <t>DEUSD</t>
  </si>
  <si>
    <t>$132,578,463</t>
  </si>
  <si>
    <t>$343,471</t>
  </si>
  <si>
    <t>132.63M</t>
  </si>
  <si>
    <t>YU</t>
  </si>
  <si>
    <t>$0.9996</t>
  </si>
  <si>
    <t>$131,915,058</t>
  </si>
  <si>
    <t>$1,092,882</t>
  </si>
  <si>
    <t>131.95M</t>
  </si>
  <si>
    <t>POLYX</t>
  </si>
  <si>
    <t>$0.1332</t>
  </si>
  <si>
    <t>$131,880,666</t>
  </si>
  <si>
    <t>$2,531,201</t>
  </si>
  <si>
    <t>989.35M</t>
  </si>
  <si>
    <t>ALEO</t>
  </si>
  <si>
    <t>$0.2781</t>
  </si>
  <si>
    <t>$129,554,753</t>
  </si>
  <si>
    <t>$7,930,906</t>
  </si>
  <si>
    <t>465.83M</t>
  </si>
  <si>
    <t>$128,872,926</t>
  </si>
  <si>
    <t>$8,432,086</t>
  </si>
  <si>
    <t>128.9M</t>
  </si>
  <si>
    <t>BABY</t>
  </si>
  <si>
    <t>$0.04956</t>
  </si>
  <si>
    <t>$128,393,361</t>
  </si>
  <si>
    <t>$10,778,520</t>
  </si>
  <si>
    <t>2.59B</t>
  </si>
  <si>
    <t>SNT</t>
  </si>
  <si>
    <t>$0.02674</t>
  </si>
  <si>
    <t>$128,203,844</t>
  </si>
  <si>
    <t>$10,487,502</t>
  </si>
  <si>
    <t>4.79B</t>
  </si>
  <si>
    <t>ENJ</t>
  </si>
  <si>
    <t>$0.06809</t>
  </si>
  <si>
    <t>$127,672,149</t>
  </si>
  <si>
    <t>$11,344,790</t>
  </si>
  <si>
    <t>1.87B</t>
  </si>
  <si>
    <t>VANA</t>
  </si>
  <si>
    <t>$4.24</t>
  </si>
  <si>
    <t>$127,660,598</t>
  </si>
  <si>
    <t>$9,341,488</t>
  </si>
  <si>
    <t>30.08M</t>
  </si>
  <si>
    <t>EDGE</t>
  </si>
  <si>
    <t>$0.4326</t>
  </si>
  <si>
    <t>$87,828,987</t>
  </si>
  <si>
    <t>$9,141,404</t>
  </si>
  <si>
    <t>203.02M</t>
  </si>
  <si>
    <t>APTM</t>
  </si>
  <si>
    <t>$1.62</t>
  </si>
  <si>
    <t>$87,776,158</t>
  </si>
  <si>
    <t>$9,108,166</t>
  </si>
  <si>
    <t>54.05M</t>
  </si>
  <si>
    <t>LON</t>
  </si>
  <si>
    <t>$0.6995</t>
  </si>
  <si>
    <t>$86,786,092</t>
  </si>
  <si>
    <t>$24,699</t>
  </si>
  <si>
    <t>124.06M</t>
  </si>
  <si>
    <t>$2.88</t>
  </si>
  <si>
    <t>$86,613,592</t>
  </si>
  <si>
    <t>$295,825</t>
  </si>
  <si>
    <t>30M</t>
  </si>
  <si>
    <t>ARDR</t>
  </si>
  <si>
    <t>$0.08647</t>
  </si>
  <si>
    <t>$86,345,798</t>
  </si>
  <si>
    <t>$4,522,686</t>
  </si>
  <si>
    <t>998.46M</t>
  </si>
  <si>
    <t>AUDIO</t>
  </si>
  <si>
    <t>$0.06401</t>
  </si>
  <si>
    <t>$86,441,423</t>
  </si>
  <si>
    <t>$6,787,116</t>
  </si>
  <si>
    <t>1.35B</t>
  </si>
  <si>
    <t>ARK</t>
  </si>
  <si>
    <t>$0.4504</t>
  </si>
  <si>
    <t>$85,996,731</t>
  </si>
  <si>
    <t>$4,342,188</t>
  </si>
  <si>
    <t>190.9M</t>
  </si>
  <si>
    <t>GOAT</t>
  </si>
  <si>
    <t>$0.08568</t>
  </si>
  <si>
    <t>$85,680,579</t>
  </si>
  <si>
    <t>$14,947,172</t>
  </si>
  <si>
    <t>999.99M</t>
  </si>
  <si>
    <t>BAN</t>
  </si>
  <si>
    <t>$0.08543</t>
  </si>
  <si>
    <t>$85,436,011</t>
  </si>
  <si>
    <t>$10,238,715</t>
  </si>
  <si>
    <t>999.96M</t>
  </si>
  <si>
    <t>WONUS</t>
  </si>
  <si>
    <t>$0.8861</t>
  </si>
  <si>
    <t>$84,791,103</t>
  </si>
  <si>
    <t>N/A</t>
  </si>
  <si>
    <t>95.68M</t>
  </si>
  <si>
    <t>SOPH</t>
  </si>
  <si>
    <t>$0.03141</t>
  </si>
  <si>
    <t>$62,836,837</t>
  </si>
  <si>
    <t>$13,787,251</t>
  </si>
  <si>
    <t>2B</t>
  </si>
  <si>
    <t>MTL</t>
  </si>
  <si>
    <t>$0.7292</t>
  </si>
  <si>
    <t>$62,825,935</t>
  </si>
  <si>
    <t>$1,249,114</t>
  </si>
  <si>
    <t>86.14M</t>
  </si>
  <si>
    <t>CELR</t>
  </si>
  <si>
    <t>$0.008040</t>
  </si>
  <si>
    <t>$62,746,080</t>
  </si>
  <si>
    <t>$5,327,551</t>
  </si>
  <si>
    <t>7.8B</t>
  </si>
  <si>
    <t>AL</t>
  </si>
  <si>
    <t>$0.07982</t>
  </si>
  <si>
    <t>$62,547,790</t>
  </si>
  <si>
    <t>$9,047,350</t>
  </si>
  <si>
    <t>783.57M</t>
  </si>
  <si>
    <t>B3</t>
  </si>
  <si>
    <t>$0.002927</t>
  </si>
  <si>
    <t>$62,328,087</t>
  </si>
  <si>
    <t>$2,058,149</t>
  </si>
  <si>
    <t>21.29B</t>
  </si>
  <si>
    <t>TORN</t>
  </si>
  <si>
    <t>$11.79</t>
  </si>
  <si>
    <t>$62,064,898</t>
  </si>
  <si>
    <t>$76,515</t>
  </si>
  <si>
    <t>5.26M</t>
  </si>
  <si>
    <t>ZKJ</t>
  </si>
  <si>
    <t>$0.1816</t>
  </si>
  <si>
    <t>$61,786,840</t>
  </si>
  <si>
    <t>$8,267,657</t>
  </si>
  <si>
    <t>340.13M</t>
  </si>
  <si>
    <t>AUCTION</t>
  </si>
  <si>
    <t>$10.12</t>
  </si>
  <si>
    <t>$61,648,001</t>
  </si>
  <si>
    <t>$27,805,860</t>
  </si>
  <si>
    <t>6.09M</t>
  </si>
  <si>
    <t>XRD</t>
  </si>
  <si>
    <t>$0.005210</t>
  </si>
  <si>
    <t>$61,619,476</t>
  </si>
  <si>
    <t>$213,098</t>
  </si>
  <si>
    <t>11.82B</t>
  </si>
  <si>
    <t>GNS</t>
  </si>
  <si>
    <t>$2.17</t>
  </si>
  <si>
    <t>$61,481,343</t>
  </si>
  <si>
    <t>$2,564,140</t>
  </si>
  <si>
    <t>28.3M</t>
  </si>
  <si>
    <t>QRL</t>
  </si>
  <si>
    <t>$0.6727</t>
  </si>
  <si>
    <t>$45,704,968</t>
  </si>
  <si>
    <t>$35,491</t>
  </si>
  <si>
    <t>67.93M</t>
  </si>
  <si>
    <t>XYM</t>
  </si>
  <si>
    <t>$0.007354</t>
  </si>
  <si>
    <t>$45,421,680</t>
  </si>
  <si>
    <t>$758,766</t>
  </si>
  <si>
    <t>6.17B</t>
  </si>
  <si>
    <t>DBR</t>
  </si>
  <si>
    <t>$0.02359</t>
  </si>
  <si>
    <t>$45,403,740</t>
  </si>
  <si>
    <t>$10,853,972</t>
  </si>
  <si>
    <t>1.92B</t>
  </si>
  <si>
    <t>OGN</t>
  </si>
  <si>
    <t>$0.06741</t>
  </si>
  <si>
    <t>$45,353,098</t>
  </si>
  <si>
    <t>$19,016,000</t>
  </si>
  <si>
    <t>672.7M</t>
  </si>
  <si>
    <t>OLAS</t>
  </si>
  <si>
    <t>$0.2525</t>
  </si>
  <si>
    <t>$45,266,206</t>
  </si>
  <si>
    <t>$339,268</t>
  </si>
  <si>
    <t>179.2M</t>
  </si>
  <si>
    <t>REZ</t>
  </si>
  <si>
    <t>$0.01237</t>
  </si>
  <si>
    <t>$45,071,702</t>
  </si>
  <si>
    <t>$10,189,722</t>
  </si>
  <si>
    <t>3.64B</t>
  </si>
  <si>
    <t>PEPECOIN</t>
  </si>
  <si>
    <t>$0.4205</t>
  </si>
  <si>
    <t>$45,027,836</t>
  </si>
  <si>
    <t>$401,821</t>
  </si>
  <si>
    <t>107.05M</t>
  </si>
  <si>
    <t>SLND</t>
  </si>
  <si>
    <t>$0.4502</t>
  </si>
  <si>
    <t>$44,873,234</t>
  </si>
  <si>
    <t>99.66M</t>
  </si>
  <si>
    <t>PYR</t>
  </si>
  <si>
    <t>$1.01</t>
  </si>
  <si>
    <t>$44,872,405</t>
  </si>
  <si>
    <t>$10,068,683</t>
  </si>
  <si>
    <t>44.05M</t>
  </si>
  <si>
    <t>MET</t>
  </si>
  <si>
    <t>$0.2490</t>
  </si>
  <si>
    <t>$44,330,157</t>
  </si>
  <si>
    <t>$68,082,352</t>
  </si>
  <si>
    <t>177.96M</t>
  </si>
  <si>
    <t>METFI</t>
  </si>
  <si>
    <t>$0.1618</t>
  </si>
  <si>
    <t>$35,354,744</t>
  </si>
  <si>
    <t>$121,069</t>
  </si>
  <si>
    <t>218.43M</t>
  </si>
  <si>
    <t>YALA</t>
  </si>
  <si>
    <t>$0.1431</t>
  </si>
  <si>
    <t>$35,264,904</t>
  </si>
  <si>
    <t>$7,857,060</t>
  </si>
  <si>
    <t>246.36M</t>
  </si>
  <si>
    <t>META</t>
  </si>
  <si>
    <t>$0.02046</t>
  </si>
  <si>
    <t>$35,141,644</t>
  </si>
  <si>
    <t>$129,282</t>
  </si>
  <si>
    <t>1.71B</t>
  </si>
  <si>
    <t>ACA</t>
  </si>
  <si>
    <t>$0.03011</t>
  </si>
  <si>
    <t>$35,138,416</t>
  </si>
  <si>
    <t>$5,538,677</t>
  </si>
  <si>
    <t>1.16B</t>
  </si>
  <si>
    <t>$0.8987</t>
  </si>
  <si>
    <t>$35,080,411</t>
  </si>
  <si>
    <t>$9,778,739</t>
  </si>
  <si>
    <t>39.03M</t>
  </si>
  <si>
    <t>ROAM</t>
  </si>
  <si>
    <t>$0.1125</t>
  </si>
  <si>
    <t>$35,034,139</t>
  </si>
  <si>
    <t>$50,371,789</t>
  </si>
  <si>
    <t>311.3M</t>
  </si>
  <si>
    <t>FUEL</t>
  </si>
  <si>
    <t>$0.006097</t>
  </si>
  <si>
    <t>$34,972,612</t>
  </si>
  <si>
    <t>$1,391,859</t>
  </si>
  <si>
    <t>5.73B</t>
  </si>
  <si>
    <t>AMPL</t>
  </si>
  <si>
    <t>$1.23</t>
  </si>
  <si>
    <t>$34,798,359</t>
  </si>
  <si>
    <t>$75,600</t>
  </si>
  <si>
    <t>28.27M</t>
  </si>
  <si>
    <t>$0.02275</t>
  </si>
  <si>
    <t>$34,575,104</t>
  </si>
  <si>
    <t>$18,844,509</t>
  </si>
  <si>
    <t>1.51B</t>
  </si>
  <si>
    <t>FAIR3</t>
  </si>
  <si>
    <t>$0.03687</t>
  </si>
  <si>
    <t>$34,508,739</t>
  </si>
  <si>
    <t>$8,324,722</t>
  </si>
  <si>
    <t>935.81M</t>
  </si>
  <si>
    <t>$0.03186</t>
  </si>
  <si>
    <t>$26,070,319</t>
  </si>
  <si>
    <t>$467,706</t>
  </si>
  <si>
    <t>818.17M</t>
  </si>
  <si>
    <t>LAT</t>
  </si>
  <si>
    <t>$0.003897</t>
  </si>
  <si>
    <t>$26,014,561</t>
  </si>
  <si>
    <t>$6,727,701</t>
  </si>
  <si>
    <t>6.67B</t>
  </si>
  <si>
    <t>ETHDYDX</t>
  </si>
  <si>
    <t>$0.6222</t>
  </si>
  <si>
    <t>$25,922,954</t>
  </si>
  <si>
    <t>$9,982,050</t>
  </si>
  <si>
    <t>41.65M</t>
  </si>
  <si>
    <t>BOB</t>
  </si>
  <si>
    <t>$0.076150</t>
  </si>
  <si>
    <t>$25,873,467</t>
  </si>
  <si>
    <t>$11,510,400</t>
  </si>
  <si>
    <t>420.69T</t>
  </si>
  <si>
    <t>$0.02106</t>
  </si>
  <si>
    <t>$25,788,064</t>
  </si>
  <si>
    <t>$1,225,263</t>
  </si>
  <si>
    <t>1.22B</t>
  </si>
  <si>
    <t>KEKIUS</t>
  </si>
  <si>
    <t>$0.02575</t>
  </si>
  <si>
    <t>$25,759,341</t>
  </si>
  <si>
    <t>$2,642,277</t>
  </si>
  <si>
    <t>ADS</t>
  </si>
  <si>
    <t>$0.1085</t>
  </si>
  <si>
    <t>$25,730,460</t>
  </si>
  <si>
    <t>$64,349</t>
  </si>
  <si>
    <t>236.99M</t>
  </si>
  <si>
    <t>BID</t>
  </si>
  <si>
    <t>$0.09556</t>
  </si>
  <si>
    <t>$25,696,932</t>
  </si>
  <si>
    <t>$1,704,625</t>
  </si>
  <si>
    <t>268.88M</t>
  </si>
  <si>
    <t>MOBY</t>
  </si>
  <si>
    <t>$0.02550</t>
  </si>
  <si>
    <t>$25,507,544</t>
  </si>
  <si>
    <t>$5,524,554</t>
  </si>
  <si>
    <t>999.97M</t>
  </si>
  <si>
    <t>AGRS</t>
  </si>
  <si>
    <t>$0.8529</t>
  </si>
  <si>
    <t>$25,471,481</t>
  </si>
  <si>
    <t>$43,405</t>
  </si>
  <si>
    <t>29.86M</t>
  </si>
  <si>
    <t>$0.9988</t>
  </si>
  <si>
    <t>$18,990,853</t>
  </si>
  <si>
    <t>$228,239</t>
  </si>
  <si>
    <t>19.01M</t>
  </si>
  <si>
    <t>CTA</t>
  </si>
  <si>
    <t>$0.03792</t>
  </si>
  <si>
    <t>$18,961,083</t>
  </si>
  <si>
    <t>$706,323</t>
  </si>
  <si>
    <t>500M</t>
  </si>
  <si>
    <t>OMIKAMI</t>
  </si>
  <si>
    <t>$0.02001</t>
  </si>
  <si>
    <t>$18,957,669</t>
  </si>
  <si>
    <t>$357,326</t>
  </si>
  <si>
    <t>946.97M</t>
  </si>
  <si>
    <t>AIO</t>
  </si>
  <si>
    <t>$0.08172</t>
  </si>
  <si>
    <t>$18,817,231</t>
  </si>
  <si>
    <t>$5,622,803</t>
  </si>
  <si>
    <t>230.25M</t>
  </si>
  <si>
    <t>GFAL</t>
  </si>
  <si>
    <t>$0.005502</t>
  </si>
  <si>
    <t>$18,668,308</t>
  </si>
  <si>
    <t>$181,555</t>
  </si>
  <si>
    <t>3.39B</t>
  </si>
  <si>
    <t>MGP</t>
  </si>
  <si>
    <t>$0.03889</t>
  </si>
  <si>
    <t>$18,667,205</t>
  </si>
  <si>
    <t>$1,002</t>
  </si>
  <si>
    <t>479.99M</t>
  </si>
  <si>
    <t>EVER</t>
  </si>
  <si>
    <t>$0.009370</t>
  </si>
  <si>
    <t>$18,606,007</t>
  </si>
  <si>
    <t>$189,918</t>
  </si>
  <si>
    <t>1.98B</t>
  </si>
  <si>
    <t>BULLA</t>
  </si>
  <si>
    <t>$0.06639</t>
  </si>
  <si>
    <t>$18,591,856</t>
  </si>
  <si>
    <t>$4,765,140</t>
  </si>
  <si>
    <t>280M</t>
  </si>
  <si>
    <t>SIX</t>
  </si>
  <si>
    <t>$0.02178</t>
  </si>
  <si>
    <t>$18,540,898</t>
  </si>
  <si>
    <t>$4,492,892</t>
  </si>
  <si>
    <t>850.96M</t>
  </si>
  <si>
    <t>AIH</t>
  </si>
  <si>
    <t>$16.85</t>
  </si>
  <si>
    <t>$18,536,240</t>
  </si>
  <si>
    <t>$119,734</t>
  </si>
  <si>
    <t>1.1M</t>
  </si>
  <si>
    <t>NODE</t>
  </si>
  <si>
    <t>$0.1108</t>
  </si>
  <si>
    <t>$14,785,022</t>
  </si>
  <si>
    <t>$32,485,149</t>
  </si>
  <si>
    <t>133.39M</t>
  </si>
  <si>
    <t>$0.007013</t>
  </si>
  <si>
    <t>$14,719,301</t>
  </si>
  <si>
    <t>$138</t>
  </si>
  <si>
    <t>2.09B</t>
  </si>
  <si>
    <t>RZR</t>
  </si>
  <si>
    <t>$0.0003612</t>
  </si>
  <si>
    <t>$14,681,529</t>
  </si>
  <si>
    <t>$499,518</t>
  </si>
  <si>
    <t>40.64B</t>
  </si>
  <si>
    <t>JYAI</t>
  </si>
  <si>
    <t>$0.0002118</t>
  </si>
  <si>
    <t>$14,616,635</t>
  </si>
  <si>
    <t>$6,112,676</t>
  </si>
  <si>
    <t>69B</t>
  </si>
  <si>
    <t>PSTAKE</t>
  </si>
  <si>
    <t>$0.03322</t>
  </si>
  <si>
    <t>$14,606,826</t>
  </si>
  <si>
    <t>$4,251,361</t>
  </si>
  <si>
    <t>439.65M</t>
  </si>
  <si>
    <t>SUKU</t>
  </si>
  <si>
    <t>$0.02987</t>
  </si>
  <si>
    <t>$14,570,562</t>
  </si>
  <si>
    <t>$316,134</t>
  </si>
  <si>
    <t>487.69M</t>
  </si>
  <si>
    <t>VINU</t>
  </si>
  <si>
    <t>$0.071613</t>
  </si>
  <si>
    <t>$14,516,193</t>
  </si>
  <si>
    <t>$542,805</t>
  </si>
  <si>
    <t>899.59T</t>
  </si>
  <si>
    <t>HOSICO</t>
  </si>
  <si>
    <t>$0.01444</t>
  </si>
  <si>
    <t>$14,440,722</t>
  </si>
  <si>
    <t>$1,406,872</t>
  </si>
  <si>
    <t>ALVA</t>
  </si>
  <si>
    <t>$0.1963</t>
  </si>
  <si>
    <t>$14,425,837</t>
  </si>
  <si>
    <t>$686,075</t>
  </si>
  <si>
    <t>73.46M</t>
  </si>
  <si>
    <t>YAFA</t>
  </si>
  <si>
    <t>$0.01483</t>
  </si>
  <si>
    <t>$14,389,863</t>
  </si>
  <si>
    <t>$34,241</t>
  </si>
  <si>
    <t>969.99M</t>
  </si>
  <si>
    <t>IGT</t>
  </si>
  <si>
    <t>$0.04302</t>
  </si>
  <si>
    <t>$11,345,859</t>
  </si>
  <si>
    <t>$810,252</t>
  </si>
  <si>
    <t>263.73M</t>
  </si>
  <si>
    <t>BSW</t>
  </si>
  <si>
    <t>$0.01686</t>
  </si>
  <si>
    <t>$11,304,052</t>
  </si>
  <si>
    <t>$8,799,764</t>
  </si>
  <si>
    <t>670.18M</t>
  </si>
  <si>
    <t>PUBLIC</t>
  </si>
  <si>
    <t>$0.05637</t>
  </si>
  <si>
    <t>$11,274,163</t>
  </si>
  <si>
    <t>$6,405,267</t>
  </si>
  <si>
    <t>200M</t>
  </si>
  <si>
    <t>BASEDAI</t>
  </si>
  <si>
    <t>$0.3249</t>
  </si>
  <si>
    <t>$11,243,721</t>
  </si>
  <si>
    <t>$25,910</t>
  </si>
  <si>
    <t>34.59M</t>
  </si>
  <si>
    <t>BELLS</t>
  </si>
  <si>
    <t>$0.1833</t>
  </si>
  <si>
    <t>$11,181,505</t>
  </si>
  <si>
    <t>$95,241</t>
  </si>
  <si>
    <t>60.97M</t>
  </si>
  <si>
    <t>$0.01242</t>
  </si>
  <si>
    <t>$11,184,297</t>
  </si>
  <si>
    <t>$1,157,910</t>
  </si>
  <si>
    <t>899.84M</t>
  </si>
  <si>
    <t>STUFF</t>
  </si>
  <si>
    <t>$0.004238</t>
  </si>
  <si>
    <t>$11,144,288</t>
  </si>
  <si>
    <t>$19,472</t>
  </si>
  <si>
    <t>2.62B</t>
  </si>
  <si>
    <t>TONIC</t>
  </si>
  <si>
    <t>$0.074502</t>
  </si>
  <si>
    <t>$11,155,057</t>
  </si>
  <si>
    <t>$233,918</t>
  </si>
  <si>
    <t>247.73T</t>
  </si>
  <si>
    <t>PROS</t>
  </si>
  <si>
    <t>$0.2159</t>
  </si>
  <si>
    <t>$11,101,030</t>
  </si>
  <si>
    <t>$105,278</t>
  </si>
  <si>
    <t>51.39M</t>
  </si>
  <si>
    <t>AKE</t>
  </si>
  <si>
    <t>$0.0004861</t>
  </si>
  <si>
    <t>$11,082,865</t>
  </si>
  <si>
    <t>$8,599,503</t>
  </si>
  <si>
    <t>22.79B</t>
  </si>
  <si>
    <t>USDR</t>
  </si>
  <si>
    <t>$0.9993</t>
  </si>
  <si>
    <t>$8,799,631</t>
  </si>
  <si>
    <t>$50,214,459</t>
  </si>
  <si>
    <t>8.8M</t>
  </si>
  <si>
    <t>XCP</t>
  </si>
  <si>
    <t>$3.38</t>
  </si>
  <si>
    <t>$8,770,979</t>
  </si>
  <si>
    <t>$10</t>
  </si>
  <si>
    <t>2.59M</t>
  </si>
  <si>
    <t>SBD</t>
  </si>
  <si>
    <t>$0.8940</t>
  </si>
  <si>
    <t>$8,762,689</t>
  </si>
  <si>
    <t>$1,784,357</t>
  </si>
  <si>
    <t>9.8M</t>
  </si>
  <si>
    <t>STARTUP</t>
  </si>
  <si>
    <t>$0.008843</t>
  </si>
  <si>
    <t>$8,757,334</t>
  </si>
  <si>
    <t>$1,018,996</t>
  </si>
  <si>
    <t>990.28M</t>
  </si>
  <si>
    <t>LNQ</t>
  </si>
  <si>
    <t>$0.03631</t>
  </si>
  <si>
    <t>$8,738,652</t>
  </si>
  <si>
    <t>$849,245</t>
  </si>
  <si>
    <t>240.6M</t>
  </si>
  <si>
    <t>BXX</t>
  </si>
  <si>
    <t>$0.04564</t>
  </si>
  <si>
    <t>$8,732,769</t>
  </si>
  <si>
    <t>$31,161</t>
  </si>
  <si>
    <t>191.31M</t>
  </si>
  <si>
    <t>SWAP</t>
  </si>
  <si>
    <t>$0.08713</t>
  </si>
  <si>
    <t>$8,712,671</t>
  </si>
  <si>
    <t>$260,752</t>
  </si>
  <si>
    <t>99.99M</t>
  </si>
  <si>
    <t>TANSSI</t>
  </si>
  <si>
    <t>$0.03952</t>
  </si>
  <si>
    <t>$8,699,473</t>
  </si>
  <si>
    <t>$7,734,230</t>
  </si>
  <si>
    <t>220.1M</t>
  </si>
  <si>
    <t>STRD</t>
  </si>
  <si>
    <t>$0.09871</t>
  </si>
  <si>
    <t>$8,669,853</t>
  </si>
  <si>
    <t>$229,548</t>
  </si>
  <si>
    <t>87.82M</t>
  </si>
  <si>
    <t>PPC</t>
  </si>
  <si>
    <t>$0.2912</t>
  </si>
  <si>
    <t>$8,662,826</t>
  </si>
  <si>
    <t>$65,907</t>
  </si>
  <si>
    <t>29.74M</t>
  </si>
  <si>
    <t>$0.7020</t>
  </si>
  <si>
    <t>$7,020,264</t>
  </si>
  <si>
    <t>10M</t>
  </si>
  <si>
    <t>vDAI</t>
  </si>
  <si>
    <t>$0.02555</t>
  </si>
  <si>
    <t>$7,015,949</t>
  </si>
  <si>
    <t>274.53M</t>
  </si>
  <si>
    <t>FLT</t>
  </si>
  <si>
    <t>$0.03469</t>
  </si>
  <si>
    <t>$6,977,656</t>
  </si>
  <si>
    <t>$146,941</t>
  </si>
  <si>
    <t>201.12M</t>
  </si>
  <si>
    <t>MPC</t>
  </si>
  <si>
    <t>$0.01934</t>
  </si>
  <si>
    <t>$6,955,385</t>
  </si>
  <si>
    <t>$6,780</t>
  </si>
  <si>
    <t>359.59M</t>
  </si>
  <si>
    <t>HOGE</t>
  </si>
  <si>
    <t>$0.00001759</t>
  </si>
  <si>
    <t>$6,922,422</t>
  </si>
  <si>
    <t>393.4B</t>
  </si>
  <si>
    <t>PAIN</t>
  </si>
  <si>
    <t>$1.38</t>
  </si>
  <si>
    <t>$6,916,559</t>
  </si>
  <si>
    <t>$425,962</t>
  </si>
  <si>
    <t>4.99M</t>
  </si>
  <si>
    <t>P2P</t>
  </si>
  <si>
    <t>$0.0002995</t>
  </si>
  <si>
    <t>$6,910,668</t>
  </si>
  <si>
    <t>$87,808</t>
  </si>
  <si>
    <t>23.06B</t>
  </si>
  <si>
    <t>CERE</t>
  </si>
  <si>
    <t>$0.0009944</t>
  </si>
  <si>
    <t>$6,901,123</t>
  </si>
  <si>
    <t>$187,469</t>
  </si>
  <si>
    <t>6.93B</t>
  </si>
  <si>
    <t>$0.1352</t>
  </si>
  <si>
    <t>$6,897,513</t>
  </si>
  <si>
    <t>$340,331</t>
  </si>
  <si>
    <t>50.99M</t>
  </si>
  <si>
    <t>FANC</t>
  </si>
  <si>
    <t>$0.004908</t>
  </si>
  <si>
    <t>$6,894,766</t>
  </si>
  <si>
    <t>$321,408</t>
  </si>
  <si>
    <t>1.4B</t>
  </si>
  <si>
    <t>VELVET</t>
  </si>
  <si>
    <t>$0.06052</t>
  </si>
  <si>
    <t>$5,328,756</t>
  </si>
  <si>
    <t>$4,164,781</t>
  </si>
  <si>
    <t>88.03M</t>
  </si>
  <si>
    <t>WIBE</t>
  </si>
  <si>
    <t>$0.2610</t>
  </si>
  <si>
    <t>$5,322,203</t>
  </si>
  <si>
    <t>$3,754,649</t>
  </si>
  <si>
    <t>20.38M</t>
  </si>
  <si>
    <t>ABBC</t>
  </si>
  <si>
    <t>$0.005877</t>
  </si>
  <si>
    <t>$5,321,075</t>
  </si>
  <si>
    <t>$59,834</t>
  </si>
  <si>
    <t>905.3M</t>
  </si>
  <si>
    <t>LCAT</t>
  </si>
  <si>
    <t>$0.01122</t>
  </si>
  <si>
    <t>$5,289,262</t>
  </si>
  <si>
    <t>$30,255</t>
  </si>
  <si>
    <t>471M</t>
  </si>
  <si>
    <t>DEAI</t>
  </si>
  <si>
    <t>$0.05787</t>
  </si>
  <si>
    <t>$5,279,826</t>
  </si>
  <si>
    <t>$1,013,267</t>
  </si>
  <si>
    <t>91.22M</t>
  </si>
  <si>
    <t>$0.06946</t>
  </si>
  <si>
    <t>$5,273,359</t>
  </si>
  <si>
    <t>$846,710</t>
  </si>
  <si>
    <t>75.91M</t>
  </si>
  <si>
    <t>STNK</t>
  </si>
  <si>
    <t>$9.06</t>
  </si>
  <si>
    <t>$5,254,151</t>
  </si>
  <si>
    <t>$27,503</t>
  </si>
  <si>
    <t>579.84K</t>
  </si>
  <si>
    <t>EPIC</t>
  </si>
  <si>
    <t>$0.3037</t>
  </si>
  <si>
    <t>$5,249,160</t>
  </si>
  <si>
    <t>$64,548</t>
  </si>
  <si>
    <t>17.27M</t>
  </si>
  <si>
    <t>GRIFT</t>
  </si>
  <si>
    <t>$0.005238</t>
  </si>
  <si>
    <t>$5,236,511</t>
  </si>
  <si>
    <t>$2,582,102</t>
  </si>
  <si>
    <t>999.68M</t>
  </si>
  <si>
    <t>SPARKLET</t>
  </si>
  <si>
    <t>$0.02444</t>
  </si>
  <si>
    <t>$5,209,385</t>
  </si>
  <si>
    <t>$289,972</t>
  </si>
  <si>
    <t>213.09M</t>
  </si>
  <si>
    <t>TROLL</t>
  </si>
  <si>
    <t>$0.084376</t>
  </si>
  <si>
    <t>$4,203,318</t>
  </si>
  <si>
    <t>$369,327</t>
  </si>
  <si>
    <t>960.42T</t>
  </si>
  <si>
    <t>JEWEL</t>
  </si>
  <si>
    <t>$0.03701</t>
  </si>
  <si>
    <t>$4,202,448</t>
  </si>
  <si>
    <t>113.53M</t>
  </si>
  <si>
    <t>BF</t>
  </si>
  <si>
    <t>$0.0009776</t>
  </si>
  <si>
    <t>$4,193,254</t>
  </si>
  <si>
    <t>4.28B</t>
  </si>
  <si>
    <t>XPIN</t>
  </si>
  <si>
    <t>$0.0006957</t>
  </si>
  <si>
    <t>$4,174,785</t>
  </si>
  <si>
    <t>$10,230,683</t>
  </si>
  <si>
    <t>6B</t>
  </si>
  <si>
    <t>BEAM</t>
  </si>
  <si>
    <t>$0.02762</t>
  </si>
  <si>
    <t>$4,163,952</t>
  </si>
  <si>
    <t>$96,917</t>
  </si>
  <si>
    <t>150.75M</t>
  </si>
  <si>
    <t>WIKEN</t>
  </si>
  <si>
    <t>$0.003939</t>
  </si>
  <si>
    <t>$4,148,747</t>
  </si>
  <si>
    <t>$8,766</t>
  </si>
  <si>
    <t>1.05B</t>
  </si>
  <si>
    <t>$0.4422</t>
  </si>
  <si>
    <t>$4,145,259</t>
  </si>
  <si>
    <t>9.37M</t>
  </si>
  <si>
    <t>MYST</t>
  </si>
  <si>
    <t>$0.2066</t>
  </si>
  <si>
    <t>$4,140,168</t>
  </si>
  <si>
    <t>$106,213</t>
  </si>
  <si>
    <t>20.03M</t>
  </si>
  <si>
    <t>PZM</t>
  </si>
  <si>
    <t>$0.0009470</t>
  </si>
  <si>
    <t>$4,138,839</t>
  </si>
  <si>
    <t>$847</t>
  </si>
  <si>
    <t>4.37B</t>
  </si>
  <si>
    <t>FROG</t>
  </si>
  <si>
    <t>$0.0008261</t>
  </si>
  <si>
    <t>$4,130,541</t>
  </si>
  <si>
    <t>$355,240</t>
  </si>
  <si>
    <t>5B</t>
  </si>
  <si>
    <t>SLAP</t>
  </si>
  <si>
    <t>$0.0007666</t>
  </si>
  <si>
    <t>$3,350,959</t>
  </si>
  <si>
    <t>MSTR</t>
  </si>
  <si>
    <t>$0.1620</t>
  </si>
  <si>
    <t>$3,346,569</t>
  </si>
  <si>
    <t>$331,094</t>
  </si>
  <si>
    <t>20.64M</t>
  </si>
  <si>
    <t>LBL</t>
  </si>
  <si>
    <t>$0.001237</t>
  </si>
  <si>
    <t>$3,339,357</t>
  </si>
  <si>
    <t>$18,420</t>
  </si>
  <si>
    <t>2.69B</t>
  </si>
  <si>
    <t>$0.0004016</t>
  </si>
  <si>
    <t>$3,333,341</t>
  </si>
  <si>
    <t>$1,613,699</t>
  </si>
  <si>
    <t>8.29B</t>
  </si>
  <si>
    <t>XFI</t>
  </si>
  <si>
    <t>$0.05404</t>
  </si>
  <si>
    <t>$3,321,989</t>
  </si>
  <si>
    <t>$875,780</t>
  </si>
  <si>
    <t>61.46M</t>
  </si>
  <si>
    <t>BOOM</t>
  </si>
  <si>
    <t>$0.01320</t>
  </si>
  <si>
    <t>$3,318,891</t>
  </si>
  <si>
    <t>$2,394,175</t>
  </si>
  <si>
    <t>251.34M</t>
  </si>
  <si>
    <t>IZI</t>
  </si>
  <si>
    <t>$0.004211</t>
  </si>
  <si>
    <t>$3,316,153</t>
  </si>
  <si>
    <t>$95,553</t>
  </si>
  <si>
    <t>787.4M</t>
  </si>
  <si>
    <t>PUSH</t>
  </si>
  <si>
    <t>$0.03652</t>
  </si>
  <si>
    <t>$3,296,073</t>
  </si>
  <si>
    <t>$1,991,360</t>
  </si>
  <si>
    <t>90.23M</t>
  </si>
  <si>
    <t>PATRIOT</t>
  </si>
  <si>
    <t>$0.0003290</t>
  </si>
  <si>
    <t>$3,290,369</t>
  </si>
  <si>
    <t>$19,915</t>
  </si>
  <si>
    <t>10B</t>
  </si>
  <si>
    <t>PANDA</t>
  </si>
  <si>
    <t>$0.003694</t>
  </si>
  <si>
    <t>$3,283,841</t>
  </si>
  <si>
    <t>$123,380</t>
  </si>
  <si>
    <t>888.88M</t>
  </si>
  <si>
    <t>G3</t>
  </si>
  <si>
    <t>$0.005020</t>
  </si>
  <si>
    <t>$2,780,822</t>
  </si>
  <si>
    <t>$492,884</t>
  </si>
  <si>
    <t>553.85M</t>
  </si>
  <si>
    <t>HAROLD</t>
  </si>
  <si>
    <t>$0.003526</t>
  </si>
  <si>
    <t>$2,775,444</t>
  </si>
  <si>
    <t>$78,498</t>
  </si>
  <si>
    <t>787M</t>
  </si>
  <si>
    <t>TIGERSHARK</t>
  </si>
  <si>
    <t>$0.002758</t>
  </si>
  <si>
    <t>$2,758,101</t>
  </si>
  <si>
    <t>DEOD</t>
  </si>
  <si>
    <t>$0.005687</t>
  </si>
  <si>
    <t>$2,752,249</t>
  </si>
  <si>
    <t>$248,901</t>
  </si>
  <si>
    <t>483.88M</t>
  </si>
  <si>
    <t>LUR</t>
  </si>
  <si>
    <t>$2.63</t>
  </si>
  <si>
    <t>$2,740,226</t>
  </si>
  <si>
    <t>$650,212</t>
  </si>
  <si>
    <t>1.04M</t>
  </si>
  <si>
    <t>CEL</t>
  </si>
  <si>
    <t>$0.07225</t>
  </si>
  <si>
    <t>$2,725,328</t>
  </si>
  <si>
    <t>$225,992</t>
  </si>
  <si>
    <t>37.72M</t>
  </si>
  <si>
    <t>AIXCB</t>
  </si>
  <si>
    <t>$0.002739</t>
  </si>
  <si>
    <t>$2,721,575</t>
  </si>
  <si>
    <t>$9,317</t>
  </si>
  <si>
    <t>993.5M</t>
  </si>
  <si>
    <t>CHAT</t>
  </si>
  <si>
    <t>$0.3380</t>
  </si>
  <si>
    <t>$2,718,841</t>
  </si>
  <si>
    <t>$93,501</t>
  </si>
  <si>
    <t>8.04M</t>
  </si>
  <si>
    <t>BABYGROK</t>
  </si>
  <si>
    <t>$0.088474</t>
  </si>
  <si>
    <t>$2,717,949</t>
  </si>
  <si>
    <t>$86,410</t>
  </si>
  <si>
    <t>320.72T</t>
  </si>
  <si>
    <t>ALPACA</t>
  </si>
  <si>
    <t>$0.01790</t>
  </si>
  <si>
    <t>$2,715,332</t>
  </si>
  <si>
    <t>$475,091</t>
  </si>
  <si>
    <t>151.66M</t>
  </si>
  <si>
    <t>NITRO</t>
  </si>
  <si>
    <t>$0.055381</t>
  </si>
  <si>
    <t>$2,203,902</t>
  </si>
  <si>
    <t>$537,558</t>
  </si>
  <si>
    <t>409.5B</t>
  </si>
  <si>
    <t>MDAO</t>
  </si>
  <si>
    <t>$0.03111</t>
  </si>
  <si>
    <t>$2,196,829</t>
  </si>
  <si>
    <t>$181,224</t>
  </si>
  <si>
    <t>70.59M</t>
  </si>
  <si>
    <t>CPH</t>
  </si>
  <si>
    <t>$0.005725</t>
  </si>
  <si>
    <t>$2,192,711</t>
  </si>
  <si>
    <t>$55,232</t>
  </si>
  <si>
    <t>382.95M</t>
  </si>
  <si>
    <t>NATO</t>
  </si>
  <si>
    <t>$0.052193</t>
  </si>
  <si>
    <t>$2,193,844</t>
  </si>
  <si>
    <t>$238,266</t>
  </si>
  <si>
    <t>1T</t>
  </si>
  <si>
    <t>ORC</t>
  </si>
  <si>
    <t>$0.003197</t>
  </si>
  <si>
    <t>$2,190,937</t>
  </si>
  <si>
    <t>685.09M</t>
  </si>
  <si>
    <t>MSIA</t>
  </si>
  <si>
    <t>$0.3023</t>
  </si>
  <si>
    <t>$2,187,874</t>
  </si>
  <si>
    <t>$49,762</t>
  </si>
  <si>
    <t>7.23M</t>
  </si>
  <si>
    <t>CHI</t>
  </si>
  <si>
    <t>$0.03800</t>
  </si>
  <si>
    <t>$2,179,537</t>
  </si>
  <si>
    <t>$1,268</t>
  </si>
  <si>
    <t>57.34M</t>
  </si>
  <si>
    <t>QOM</t>
  </si>
  <si>
    <t>$0.083632</t>
  </si>
  <si>
    <t>$2,178,852</t>
  </si>
  <si>
    <t>$3,030</t>
  </si>
  <si>
    <t>599.88T</t>
  </si>
  <si>
    <t>XZK</t>
  </si>
  <si>
    <t>$0.003261</t>
  </si>
  <si>
    <t>$2,188,825</t>
  </si>
  <si>
    <t>$69,711</t>
  </si>
  <si>
    <t>671.09M</t>
  </si>
  <si>
    <t>TYPE</t>
  </si>
  <si>
    <t>$0.2167</t>
  </si>
  <si>
    <t>$2,167,793</t>
  </si>
  <si>
    <t>PLN</t>
  </si>
  <si>
    <t>$0.02041</t>
  </si>
  <si>
    <t>$1,756,805</t>
  </si>
  <si>
    <t>$90,761</t>
  </si>
  <si>
    <t>86.06M</t>
  </si>
  <si>
    <t>HODL</t>
  </si>
  <si>
    <t>$0.001755</t>
  </si>
  <si>
    <t>$1,755,788</t>
  </si>
  <si>
    <t>$403,029</t>
  </si>
  <si>
    <t>XTN</t>
  </si>
  <si>
    <t>$0.03375</t>
  </si>
  <si>
    <t>$1,754,868</t>
  </si>
  <si>
    <t>$637</t>
  </si>
  <si>
    <t>51.98M</t>
  </si>
  <si>
    <t>ADM</t>
  </si>
  <si>
    <t>$0.01587</t>
  </si>
  <si>
    <t>$1,752,254</t>
  </si>
  <si>
    <t>$73,794</t>
  </si>
  <si>
    <t>110.37M</t>
  </si>
  <si>
    <t>QGOV</t>
  </si>
  <si>
    <t>$0.006551</t>
  </si>
  <si>
    <t>$1,747,236</t>
  </si>
  <si>
    <t>$99,738</t>
  </si>
  <si>
    <t>266.69M</t>
  </si>
  <si>
    <t>CARR</t>
  </si>
  <si>
    <t>$0.001085</t>
  </si>
  <si>
    <t>$1,745,226</t>
  </si>
  <si>
    <t>$57,798</t>
  </si>
  <si>
    <t>JAM</t>
  </si>
  <si>
    <t>$0.00005854</t>
  </si>
  <si>
    <t>$1,739,324</t>
  </si>
  <si>
    <t>$28,022</t>
  </si>
  <si>
    <t>29.7B</t>
  </si>
  <si>
    <t>DIP</t>
  </si>
  <si>
    <t>$0.007252</t>
  </si>
  <si>
    <t>$1,738,739</t>
  </si>
  <si>
    <t>$52</t>
  </si>
  <si>
    <t>239.74M</t>
  </si>
  <si>
    <t>$0.001871</t>
  </si>
  <si>
    <t>$1,736,200</t>
  </si>
  <si>
    <t>$105,335</t>
  </si>
  <si>
    <t>927.74M</t>
  </si>
  <si>
    <t>GMAC</t>
  </si>
  <si>
    <t>$0.003466</t>
  </si>
  <si>
    <t>$1,733,212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</si>
</sst>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0"/>
    </font>
    <font>
      <sz val="11"/>
      <color rgb="FF000000"/>
      <name val="Calibri"/>
      <charset val="0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" fontId="0" fillId="0" borderId="0" xfId="0" applyNumberFormat="1">
      <alignment vertical="center"/>
    </xf>
    <xf numFmtId="2" fontId="1" fillId="0" borderId="1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2" fillId="0" borderId="0" xfId="0" applyNumberFormat="1" applyFont="1" applyAlignment="1"/>
    <xf numFmtId="2" fontId="3" fillId="2" borderId="3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2" formatCode="0.00"/>
    </dxf>
    <dxf>
      <numFmt numFmtId="2" formatCode="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5 Crypto Liquidity Distribution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PivotTable!$G$6</c:f>
              <c:strCache>
                <c:ptCount val="1"/>
                <c:pt idx="0">
                  <c:v>Sum of Volume_Num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0.0312252517253083"/>
                  <c:y val="0.08692322420065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89681198603132"/>
                  <c:y val="0.034858812074001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23352483947279"/>
                  <c:y val="0.003700097370983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36419961698772"/>
                  <c:y val="-0.043622200584225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52723103649497"/>
                  <c:y val="-0.035869321740243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PivotTable!$F$7:$F$12</c:f>
              <c:strCache>
                <c:ptCount val="6"/>
                <c:pt idx="0" c:formatCode="0.00">
                  <c:v>Tether</c:v>
                </c:pt>
                <c:pt idx="1" c:formatCode="0.00">
                  <c:v>USDC</c:v>
                </c:pt>
                <c:pt idx="2" c:formatCode="0.00">
                  <c:v>XRP</c:v>
                </c:pt>
                <c:pt idx="3" c:formatCode="0.00">
                  <c:v>Dogecoin</c:v>
                </c:pt>
                <c:pt idx="4" c:formatCode="0.00">
                  <c:v>Cardano</c:v>
                </c:pt>
                <c:pt idx="5" c:formatCode="0.00">
                  <c:v>Others</c:v>
                </c:pt>
              </c:strCache>
            </c:strRef>
          </c:cat>
          <c:val>
            <c:numRef>
              <c:f>PivotTable!$G$7:$G$12</c:f>
              <c:numCache>
                <c:formatCode>0.00</c:formatCode>
                <c:ptCount val="6"/>
                <c:pt idx="0">
                  <c:v>117252093277</c:v>
                </c:pt>
                <c:pt idx="1">
                  <c:v>17027792821</c:v>
                </c:pt>
                <c:pt idx="2">
                  <c:v>6447508710</c:v>
                </c:pt>
                <c:pt idx="3">
                  <c:v>1961967012</c:v>
                </c:pt>
                <c:pt idx="4">
                  <c:v>1153461846</c:v>
                </c:pt>
                <c:pt idx="5">
                  <c:v>2089225019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62250760392024"/>
          <c:y val="0.1222979552093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13</xdr:row>
      <xdr:rowOff>1270</xdr:rowOff>
    </xdr:from>
    <xdr:to>
      <xdr:col>11</xdr:col>
      <xdr:colOff>86360</xdr:colOff>
      <xdr:row>30</xdr:row>
      <xdr:rowOff>164465</xdr:rowOff>
    </xdr:to>
    <xdr:graphicFrame>
      <xdr:nvGraphicFramePr>
        <xdr:cNvPr id="2" name="Chart 1"/>
        <xdr:cNvGraphicFramePr/>
      </xdr:nvGraphicFramePr>
      <xdr:xfrm>
        <a:off x="4377055" y="2378710"/>
        <a:ext cx="5630545" cy="3272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5.5026157407" refreshedBy="Lenovo" recordCount="200">
  <cacheSource type="worksheet">
    <worksheetSource ref="A1:J201" sheet="Data"/>
  </cacheSource>
  <cacheFields count="10">
    <cacheField name="Coin Name" numFmtId="0">
      <sharedItems count="199">
        <s v="Bitcoin"/>
        <s v="Ethereum"/>
        <s v="XRP"/>
        <s v="Tether"/>
        <s v="BNB"/>
        <s v="Solana"/>
        <s v="USDC"/>
        <s v="Dogecoin"/>
        <s v="TRON"/>
        <s v="Cardano"/>
        <s v="Ripple USD"/>
        <s v="Zcash"/>
        <s v="AB"/>
        <s v="Pyth Network"/>
        <s v="BitTorrent [New]"/>
        <s v="Flow"/>
        <s v="DeXe"/>
        <s v="BUILDon"/>
        <s v="Walrus"/>
        <s v="Decentraland"/>
        <s v="Fasttoken"/>
        <s v="Jupiter Perps LP"/>
        <s v="Falcon USD"/>
        <s v="Loaded Lions"/>
        <s v="Ondo US Dollar Yield"/>
        <s v="Usual USD"/>
        <s v="Vision"/>
        <s v="Beldex"/>
        <s v="Global Dollar"/>
        <s v="Zeebu"/>
        <s v="WOO"/>
        <s v="Elixir deUSD"/>
        <s v="Yala"/>
        <s v="Polymesh"/>
        <s v="Aleo"/>
        <s v="AUSD"/>
        <s v="Babylon"/>
        <s v="Status"/>
        <s v="Enjin Coin"/>
        <s v="Vana"/>
        <s v="Definitive"/>
        <s v="Apertum"/>
        <s v="Tokenlon Network Token"/>
        <s v="BIM"/>
        <s v="Ardor"/>
        <s v="Audius"/>
        <s v="Ark"/>
        <s v="Goatseus Maximus"/>
        <s v="Comedian"/>
        <s v="Wrapped ONUS"/>
        <s v="Sophon"/>
        <s v="Metal DAO"/>
        <s v="Celer Network"/>
        <s v="ArchLoot"/>
        <s v="B3 (Base)"/>
        <s v="Tornado Cash"/>
        <s v="Polyhedra Network"/>
        <s v="Bounce Token"/>
        <s v="Radix"/>
        <s v="Gains Network"/>
        <s v="Quantum Resistant Ledger"/>
        <s v="Symbol"/>
        <s v="deBridge"/>
        <s v="Origin Protocol"/>
        <s v="Autonolas"/>
        <s v="Renzo"/>
        <s v="PepeCoin"/>
        <s v="Solend"/>
        <s v="Vulcan Forged (PYR)"/>
        <s v="MetYa"/>
        <s v="MetFi"/>
        <s v="Metadium"/>
        <s v="Acala Token"/>
        <s v="XION"/>
        <s v="Roam"/>
        <s v="Fuel Network"/>
        <s v="Ampleforth"/>
        <s v="ARPA"/>
        <s v="Fair and Free"/>
        <s v="XPLA"/>
        <s v="PlatON"/>
        <s v="dYdX (ethDYDX)"/>
        <s v="Build On BNB"/>
        <s v="CLV"/>
        <s v="Kekius Maximus (kekiusmaximus.vip)"/>
        <s v="Alkimi"/>
        <s v="CreatorBid"/>
        <s v="Moby"/>
        <s v="Agoras: Tau Net"/>
        <s v="ZUSD"/>
        <s v="Cross The Ages"/>
        <s v="Amaterasu Omikami"/>
        <s v="OLAXBT"/>
        <s v="Games for a Living"/>
        <s v="Magpie"/>
        <s v="Everscale"/>
        <s v="Bulla"/>
        <s v="SIX Token"/>
        <s v="AIHub"/>
        <s v="NodeOps"/>
        <s v="GYEN"/>
        <s v="Rezor"/>
        <s v="Jerry The Turtle By Matt Furie"/>
        <s v="pSTAKE Finance"/>
        <s v="Suku"/>
        <s v="Vita Inu"/>
        <s v="Hosico"/>
        <s v="Alvara Protocol"/>
        <s v="Free Palestine"/>
        <s v="Infinitar"/>
        <s v="Biswap"/>
        <s v="PublicAI"/>
        <s v="BasedAI"/>
        <s v="Bellscoin"/>
        <s v="SIGMA"/>
        <s v="STUFF.io"/>
        <s v="Tectonic"/>
        <s v="Prosper"/>
        <s v="AKEDO"/>
        <s v="StablR USD"/>
        <s v="Counterparty"/>
        <s v="Steem Dollars"/>
        <s v="Startup"/>
        <s v="LinqAI"/>
        <s v="Baanx"/>
        <s v="TrustSwap"/>
        <s v="Tanssi"/>
        <s v="Stride"/>
        <s v="Peercoin"/>
        <s v="WHALE"/>
        <s v="Venus DAI"/>
        <s v="Fluence"/>
        <s v="Partisia Blockchain"/>
        <s v="Hoge Finance"/>
        <s v="Pain (paintoken.com)"/>
        <s v="Sentinel"/>
        <s v="Cere Network"/>
        <s v="OVR"/>
        <s v="fanC"/>
        <s v="Velvet"/>
        <s v="Wibegram"/>
        <s v="ABBC Coin"/>
        <s v="Lion Cat"/>
        <s v="Zero1 Labs"/>
        <s v="STAT"/>
        <s v="Stonks"/>
        <s v="Epic Cash"/>
        <s v="ORBIT"/>
        <s v="Upland (SPARKLET)"/>
        <s v="Troll (troll.run)"/>
        <s v="DeFi Kingdoms"/>
        <s v="BitForex Token"/>
        <s v="XPIN Network"/>
        <s v="Beam"/>
        <s v="Project WITH"/>
        <s v="ICHI"/>
        <s v="Mysterium"/>
        <s v="PRIZM"/>
        <s v="Frodo the virtual samurai"/>
        <s v="CatSlap"/>
        <s v="MSTR2100"/>
        <s v="LABEL AI"/>
        <s v="RCADE"/>
        <s v="CrossFi"/>
        <s v="Boom"/>
        <s v="Izumi Finance"/>
        <s v="Push Protocol"/>
        <s v="Patriot"/>
        <s v="Panda Swap"/>
        <s v="GAM3S.GG"/>
        <s v="Harold"/>
        <s v="Tiger Shark"/>
        <s v="Decentrawood"/>
        <s v="Lumera Health"/>
        <s v="Celsius"/>
        <s v="aixCB by Virtuals"/>
        <s v="Solchat"/>
        <s v="Baby Grok (babygrok.ai)"/>
        <s v="Alpaca Finance"/>
        <s v="Nitro"/>
        <s v="MarsDAO"/>
        <s v="Cypherium"/>
        <s v="The Nation Token"/>
        <s v="Orbit Chain"/>
        <s v="Messiah"/>
        <s v="Xaya"/>
        <s v="Shiba Predator"/>
        <s v="Expand"/>
        <s v="TypeAI"/>
        <s v="Plearn"/>
        <s v="HODL Coin"/>
        <s v="Neutrino Index"/>
        <s v="ADAMANT Messenger"/>
        <s v="Q Protocol"/>
        <s v="Carnomaly"/>
        <s v="Tune.FM"/>
        <s v="Etherisc DIP Token"/>
        <s v="IVPAY"/>
        <s v="Gemach"/>
      </sharedItems>
    </cacheField>
    <cacheField name="Symbol" numFmtId="0">
      <sharedItems count="200">
        <s v="BTC"/>
        <s v="ETH"/>
        <s v="XRP"/>
        <s v="USDT"/>
        <s v="BNB"/>
        <s v="SOL"/>
        <s v="USDC"/>
        <s v="DOGE"/>
        <s v="TRX"/>
        <s v="ADA"/>
        <s v="RLUSD"/>
        <s v="ZEC"/>
        <s v="AB"/>
        <s v="PYTH"/>
        <s v="BTT"/>
        <s v="FLOW"/>
        <s v="DEXE"/>
        <s v="B"/>
        <s v="WAL"/>
        <s v="MANA"/>
        <s v="FTN"/>
        <s v="JLP"/>
        <s v="USDf"/>
        <s v="LION"/>
        <s v="USDY"/>
        <s v="USD0"/>
        <s v="VSN"/>
        <s v="BDX"/>
        <s v="USDG"/>
        <s v="ZBU"/>
        <s v="WOO"/>
        <s v="DEUSD"/>
        <s v="YU"/>
        <s v="POLYX"/>
        <s v="ALEO"/>
        <s v="AUSD"/>
        <s v="BABY"/>
        <s v="SNT"/>
        <s v="ENJ"/>
        <s v="VANA"/>
        <s v="EDGE"/>
        <s v="APTM"/>
        <s v="LON"/>
        <s v="BIM"/>
        <s v="ARDR"/>
        <s v="AUDIO"/>
        <s v="ARK"/>
        <s v="GOAT"/>
        <s v="BAN"/>
        <s v="WONUS"/>
        <s v="SOPH"/>
        <s v="MTL"/>
        <s v="CELR"/>
        <s v="AL"/>
        <s v="B3"/>
        <s v="TORN"/>
        <s v="ZKJ"/>
        <s v="AUCTION"/>
        <s v="XRD"/>
        <s v="GNS"/>
        <s v="QRL"/>
        <s v="XYM"/>
        <s v="DBR"/>
        <s v="OGN"/>
        <s v="OLAS"/>
        <s v="REZ"/>
        <s v="PEPECOIN"/>
        <s v="SLND"/>
        <s v="PYR"/>
        <s v="MET"/>
        <s v="METFI"/>
        <s v="YALA"/>
        <s v="META"/>
        <s v="ACA"/>
        <s v="XION"/>
        <s v="ROAM"/>
        <s v="FUEL"/>
        <s v="AMPL"/>
        <s v="ARPA"/>
        <s v="FAIR3"/>
        <s v="XPLA"/>
        <s v="LAT"/>
        <s v="ETHDYDX"/>
        <s v="BOB"/>
        <s v="CLV"/>
        <s v="KEKIUS"/>
        <s v="ADS"/>
        <s v="BID"/>
        <s v="MOBY"/>
        <s v="AGRS"/>
        <s v="ZUSD"/>
        <s v="CTA"/>
        <s v="OMIKAMI"/>
        <s v="AIO"/>
        <s v="GFAL"/>
        <s v="MGP"/>
        <s v="EVER"/>
        <s v="BULLA"/>
        <s v="SIX"/>
        <s v="AIH"/>
        <s v="NODE"/>
        <s v="GYEN"/>
        <s v="RZR"/>
        <s v="JYAI"/>
        <s v="PSTAKE"/>
        <s v="SUKU"/>
        <s v="VINU"/>
        <s v="HOSICO"/>
        <s v="ALVA"/>
        <s v="YAFA"/>
        <s v="IGT"/>
        <s v="BSW"/>
        <s v="PUBLIC"/>
        <s v="BASEDAI"/>
        <s v="BELLS"/>
        <s v="SIGMA"/>
        <s v="STUFF"/>
        <s v="TONIC"/>
        <s v="PROS"/>
        <s v="AKE"/>
        <s v="USDR"/>
        <s v="XCP"/>
        <s v="SBD"/>
        <s v="STARTUP"/>
        <s v="LNQ"/>
        <s v="BXX"/>
        <s v="SWAP"/>
        <s v="TANSSI"/>
        <s v="STRD"/>
        <s v="PPC"/>
        <s v="WHALE"/>
        <s v="vDAI"/>
        <s v="FLT"/>
        <s v="MPC"/>
        <s v="HOGE"/>
        <s v="PAIN"/>
        <s v="P2P"/>
        <s v="CERE"/>
        <s v="OVR"/>
        <s v="FANC"/>
        <s v="VELVET"/>
        <s v="WIBE"/>
        <s v="ABBC"/>
        <s v="LCAT"/>
        <s v="DEAI"/>
        <s v="STAT"/>
        <s v="STNK"/>
        <s v="EPIC"/>
        <s v="GRIFT"/>
        <s v="SPARKLET"/>
        <s v="TROLL"/>
        <s v="JEWEL"/>
        <s v="BF"/>
        <s v="XPIN"/>
        <s v="BEAM"/>
        <s v="WIKEN"/>
        <s v="ICHI"/>
        <s v="MYST"/>
        <s v="PZM"/>
        <s v="FROG"/>
        <s v="SLAP"/>
        <s v="MSTR"/>
        <s v="LBL"/>
        <s v="RCADE"/>
        <s v="XFI"/>
        <s v="BOOM"/>
        <s v="IZI"/>
        <s v="PUSH"/>
        <s v="PATRIOT"/>
        <s v="PANDA"/>
        <s v="G3"/>
        <s v="HAROLD"/>
        <s v="TIGERSHARK"/>
        <s v="DEOD"/>
        <s v="LUR"/>
        <s v="CEL"/>
        <s v="AIXCB"/>
        <s v="CHAT"/>
        <s v="BABYGROK"/>
        <s v="ALPACA"/>
        <s v="NITRO"/>
        <s v="MDAO"/>
        <s v="CPH"/>
        <s v="NATO"/>
        <s v="ORC"/>
        <s v="MSIA"/>
        <s v="CHI"/>
        <s v="QOM"/>
        <s v="XZK"/>
        <s v="TYPE"/>
        <s v="PLN"/>
        <s v="HODL"/>
        <s v="XTN"/>
        <s v="ADM"/>
        <s v="QGOV"/>
        <s v="CARR"/>
        <s v="JAM"/>
        <s v="DIP"/>
        <s v="IVPAY"/>
        <s v="GMAC"/>
      </sharedItems>
    </cacheField>
    <cacheField name="Price (USD)" numFmtId="0">
      <sharedItems count="197">
        <s v="$112,396.23"/>
        <s v="$4,631.69"/>
        <s v="$3.02"/>
        <s v="$1.00"/>
        <s v="$864.91"/>
        <s v="$208.97"/>
        <s v="$0.9997"/>
        <s v="$0.2217"/>
        <s v="$0.3502"/>
        <s v="$0.8693"/>
        <s v="$0.9995"/>
        <s v="$42.45"/>
        <s v="$0.009181"/>
        <s v="$0.1171"/>
        <s v="$0.066662"/>
        <s v="$0.3909"/>
        <s v="$7.42"/>
        <s v="$0.5774"/>
        <s v="$0.4049"/>
        <s v="$0.2882"/>
        <s v="$4.54"/>
        <s v="$5.48"/>
        <s v="$0.02395"/>
        <s v="$1.10"/>
        <s v="$0.9983"/>
        <s v="$0.1745"/>
        <s v="$0.07629"/>
        <s v="$0.9998"/>
        <s v="$1.94"/>
        <s v="$0.07137"/>
        <s v="$0.9996"/>
        <s v="$0.1332"/>
        <s v="$0.2781"/>
        <s v="$0.04956"/>
        <s v="$0.02674"/>
        <s v="$0.06809"/>
        <s v="$4.24"/>
        <s v="$0.4326"/>
        <s v="$1.62"/>
        <s v="$0.6995"/>
        <s v="$2.88"/>
        <s v="$0.08647"/>
        <s v="$0.06401"/>
        <s v="$0.4504"/>
        <s v="$0.08568"/>
        <s v="$0.08543"/>
        <s v="$0.8861"/>
        <s v="$0.03141"/>
        <s v="$0.7292"/>
        <s v="$0.008040"/>
        <s v="$0.07982"/>
        <s v="$0.002927"/>
        <s v="$11.79"/>
        <s v="$0.1816"/>
        <s v="$10.12"/>
        <s v="$0.005210"/>
        <s v="$2.17"/>
        <s v="$0.6727"/>
        <s v="$0.007354"/>
        <s v="$0.02359"/>
        <s v="$0.06741"/>
        <s v="$0.2525"/>
        <s v="$0.01237"/>
        <s v="$0.4205"/>
        <s v="$0.4502"/>
        <s v="$1.01"/>
        <s v="$0.2490"/>
        <s v="$0.1618"/>
        <s v="$0.1431"/>
        <s v="$0.02046"/>
        <s v="$0.03011"/>
        <s v="$0.8987"/>
        <s v="$0.1125"/>
        <s v="$0.006097"/>
        <s v="$1.23"/>
        <s v="$0.02275"/>
        <s v="$0.03687"/>
        <s v="$0.03186"/>
        <s v="$0.003897"/>
        <s v="$0.6222"/>
        <s v="$0.076150"/>
        <s v="$0.02106"/>
        <s v="$0.02575"/>
        <s v="$0.1085"/>
        <s v="$0.09556"/>
        <s v="$0.02550"/>
        <s v="$0.8529"/>
        <s v="$0.9988"/>
        <s v="$0.03792"/>
        <s v="$0.02001"/>
        <s v="$0.08172"/>
        <s v="$0.005502"/>
        <s v="$0.03889"/>
        <s v="$0.009370"/>
        <s v="$0.06639"/>
        <s v="$0.02178"/>
        <s v="$16.85"/>
        <s v="$0.1108"/>
        <s v="$0.007013"/>
        <s v="$0.0003612"/>
        <s v="$0.0002118"/>
        <s v="$0.03322"/>
        <s v="$0.02987"/>
        <s v="$0.071613"/>
        <s v="$0.01444"/>
        <s v="$0.1963"/>
        <s v="$0.01483"/>
        <s v="$0.04302"/>
        <s v="$0.01686"/>
        <s v="$0.05637"/>
        <s v="$0.3249"/>
        <s v="$0.1833"/>
        <s v="$0.01242"/>
        <s v="$0.004238"/>
        <s v="$0.074502"/>
        <s v="$0.2159"/>
        <s v="$0.0004861"/>
        <s v="$0.9993"/>
        <s v="$3.38"/>
        <s v="$0.8940"/>
        <s v="$0.008843"/>
        <s v="$0.03631"/>
        <s v="$0.04564"/>
        <s v="$0.08713"/>
        <s v="$0.03952"/>
        <s v="$0.09871"/>
        <s v="$0.2912"/>
        <s v="$0.7020"/>
        <s v="$0.02555"/>
        <s v="$0.03469"/>
        <s v="$0.01934"/>
        <s v="$0.00001759"/>
        <s v="$1.38"/>
        <s v="$0.0002995"/>
        <s v="$0.0009944"/>
        <s v="$0.1352"/>
        <s v="$0.004908"/>
        <s v="$0.06052"/>
        <s v="$0.2610"/>
        <s v="$0.005877"/>
        <s v="$0.01122"/>
        <s v="$0.05787"/>
        <s v="$0.06946"/>
        <s v="$9.06"/>
        <s v="$0.3037"/>
        <s v="$0.005238"/>
        <s v="$0.02444"/>
        <s v="$0.084376"/>
        <s v="$0.03701"/>
        <s v="$0.0009776"/>
        <s v="$0.0006957"/>
        <s v="$0.02762"/>
        <s v="$0.003939"/>
        <s v="$0.4422"/>
        <s v="$0.2066"/>
        <s v="$0.0009470"/>
        <s v="$0.0008261"/>
        <s v="$0.0007666"/>
        <s v="$0.1620"/>
        <s v="$0.001237"/>
        <s v="$0.0004016"/>
        <s v="$0.05404"/>
        <s v="$0.01320"/>
        <s v="$0.004211"/>
        <s v="$0.03652"/>
        <s v="$0.0003290"/>
        <s v="$0.003694"/>
        <s v="$0.005020"/>
        <s v="$0.003526"/>
        <s v="$0.002758"/>
        <s v="$0.005687"/>
        <s v="$2.63"/>
        <s v="$0.07225"/>
        <s v="$0.002739"/>
        <s v="$0.3380"/>
        <s v="$0.088474"/>
        <s v="$0.01790"/>
        <s v="$0.055381"/>
        <s v="$0.03111"/>
        <s v="$0.005725"/>
        <s v="$0.052193"/>
        <s v="$0.003197"/>
        <s v="$0.3023"/>
        <s v="$0.03800"/>
        <s v="$0.083632"/>
        <s v="$0.003261"/>
        <s v="$0.2167"/>
        <s v="$0.02041"/>
        <s v="$0.001755"/>
        <s v="$0.03375"/>
        <s v="$0.01587"/>
        <s v="$0.006551"/>
        <s v="$0.001085"/>
        <s v="$0.00005854"/>
        <s v="$0.007252"/>
        <s v="$0.001871"/>
        <s v="$0.003466"/>
      </sharedItems>
    </cacheField>
    <cacheField name="1h Change (%)" numFmtId="0">
      <sharedItems containsSemiMixedTypes="0" containsString="0" containsNumber="1" minValue="0" maxValue="0.0427" count="91">
        <n v="0.0068"/>
        <n v="0.0043"/>
        <n v="0.0045"/>
        <n v="0.0007"/>
        <n v="0.0024"/>
        <n v="0.0078"/>
        <n v="0.0006"/>
        <n v="0.0067"/>
        <n v="0.001"/>
        <n v="0.0032"/>
        <n v="0.0001"/>
        <n v="0.008"/>
        <n v="0.003"/>
        <n v="0.0052"/>
        <n v="0.0015"/>
        <n v="0.0011"/>
        <n v="0.0033"/>
        <n v="0.0039"/>
        <n v="0.0004"/>
        <n v="0.0047"/>
        <n v="0.0002"/>
        <n v="0.0022"/>
        <n v="0"/>
        <n v="0.0059"/>
        <n v="0.0023"/>
        <n v="0.0003"/>
        <n v="0.0016"/>
        <n v="0.0131"/>
        <n v="0.005"/>
        <n v="0.0005"/>
        <n v="0.0019"/>
        <n v="0.0132"/>
        <n v="0.0013"/>
        <n v="0.0088"/>
        <n v="0.0038"/>
        <n v="0.0077"/>
        <n v="0.0009"/>
        <n v="0.0008"/>
        <n v="0.0021"/>
        <n v="0.0014"/>
        <n v="0.0031"/>
        <n v="0.013"/>
        <n v="0.0119"/>
        <n v="0.004"/>
        <n v="0.0079"/>
        <n v="0.0012"/>
        <n v="0.0025"/>
        <n v="0.009"/>
        <n v="0.0066"/>
        <n v="0.0072"/>
        <n v="0.0216"/>
        <n v="0.0159"/>
        <n v="0.0037"/>
        <n v="0.0109"/>
        <n v="0.0092"/>
        <n v="0.0106"/>
        <n v="0.0104"/>
        <n v="0.0046"/>
        <n v="0.0041"/>
        <n v="0.0081"/>
        <n v="0.0028"/>
        <n v="0.011"/>
        <n v="0.026"/>
        <n v="0.0164"/>
        <n v="0.0087"/>
        <n v="0.0051"/>
        <n v="0.0113"/>
        <n v="0.0062"/>
        <n v="0.0285"/>
        <n v="0.0018"/>
        <n v="0.0294"/>
        <n v="0.0091"/>
        <n v="0.0133"/>
        <n v="0.0369"/>
        <n v="0.0098"/>
        <n v="0.0069"/>
        <n v="0.0027"/>
        <n v="0.0054"/>
        <n v="0.0096"/>
        <n v="0.0112"/>
        <n v="0.0029"/>
        <n v="0.0074"/>
        <n v="0.0017"/>
        <n v="0.0166"/>
        <n v="0.0162"/>
        <n v="0.0064"/>
        <n v="0.0105"/>
        <n v="0.0183"/>
        <n v="0.0427"/>
        <n v="0.0058"/>
        <n v="0.0026"/>
      </sharedItems>
    </cacheField>
    <cacheField name="Market Cap" numFmtId="0">
      <sharedItems count="200">
        <s v="$2,236,591,973,065"/>
        <s v="$558,774,287,294"/>
        <s v="$179,761,935,139"/>
        <s v="$167,211,922,205"/>
        <s v="$120,460,279,991"/>
        <s v="$112,989,075,044"/>
        <s v="$69,140,705,171"/>
        <s v="$33,418,883,909"/>
        <s v="$33,151,724,508"/>
        <s v="$31,055,700,401"/>
        <s v="$687,657,857"/>
        <s v="$687,228,061"/>
        <s v="$683,949,558"/>
        <s v="$673,440,961"/>
        <s v="$656,968,217"/>
        <s v="$626,962,319"/>
        <s v="$621,864,440"/>
        <s v="$577,405,381"/>
        <s v="$572,387,192"/>
        <s v="$567,782,071"/>
        <s v="$1,982,420,729"/>
        <s v="$1,955,931,785"/>
        <s v="$1,253,095,193"/>
        <s v="$738,956,737"/>
        <s v="$691,597,867"/>
        <s v="$642,088,143"/>
        <s v="$607,020,903"/>
        <s v="$545,355,889"/>
        <s v="$538,269,461"/>
        <s v="$503,419,749"/>
        <s v="$136,125,306"/>
        <s v="$132,578,463"/>
        <s v="$131,915,058"/>
        <s v="$131,880,666"/>
        <s v="$129,554,753"/>
        <s v="$128,872,926"/>
        <s v="$128,393,361"/>
        <s v="$128,203,844"/>
        <s v="$127,672,149"/>
        <s v="$127,660,598"/>
        <s v="$87,828,987"/>
        <s v="$87,776,158"/>
        <s v="$86,786,092"/>
        <s v="$86,613,592"/>
        <s v="$86,345,798"/>
        <s v="$86,441,423"/>
        <s v="$85,996,731"/>
        <s v="$85,680,579"/>
        <s v="$85,436,011"/>
        <s v="$84,791,103"/>
        <s v="$62,836,837"/>
        <s v="$62,825,935"/>
        <s v="$62,746,080"/>
        <s v="$62,547,790"/>
        <s v="$62,328,087"/>
        <s v="$62,064,898"/>
        <s v="$61,786,840"/>
        <s v="$61,648,001"/>
        <s v="$61,619,476"/>
        <s v="$61,481,343"/>
        <s v="$45,704,968"/>
        <s v="$45,421,680"/>
        <s v="$45,403,740"/>
        <s v="$45,353,098"/>
        <s v="$45,266,206"/>
        <s v="$45,071,702"/>
        <s v="$45,027,836"/>
        <s v="$44,873,234"/>
        <s v="$44,872,405"/>
        <s v="$44,330,157"/>
        <s v="$35,354,744"/>
        <s v="$35,264,904"/>
        <s v="$35,141,644"/>
        <s v="$35,138,416"/>
        <s v="$35,080,411"/>
        <s v="$35,034,139"/>
        <s v="$34,972,612"/>
        <s v="$34,798,359"/>
        <s v="$34,575,104"/>
        <s v="$34,508,739"/>
        <s v="$26,070,319"/>
        <s v="$26,014,561"/>
        <s v="$25,922,954"/>
        <s v="$25,873,467"/>
        <s v="$25,788,064"/>
        <s v="$25,759,341"/>
        <s v="$25,730,460"/>
        <s v="$25,696,932"/>
        <s v="$25,507,544"/>
        <s v="$25,471,481"/>
        <s v="$18,990,853"/>
        <s v="$18,961,083"/>
        <s v="$18,957,669"/>
        <s v="$18,817,231"/>
        <s v="$18,668,308"/>
        <s v="$18,667,205"/>
        <s v="$18,606,007"/>
        <s v="$18,591,856"/>
        <s v="$18,540,898"/>
        <s v="$18,536,240"/>
        <s v="$14,785,022"/>
        <s v="$14,719,301"/>
        <s v="$14,681,529"/>
        <s v="$14,616,635"/>
        <s v="$14,606,826"/>
        <s v="$14,570,562"/>
        <s v="$14,516,193"/>
        <s v="$14,440,722"/>
        <s v="$14,425,837"/>
        <s v="$14,389,863"/>
        <s v="$11,345,859"/>
        <s v="$11,304,052"/>
        <s v="$11,274,163"/>
        <s v="$11,243,721"/>
        <s v="$11,181,505"/>
        <s v="$11,184,297"/>
        <s v="$11,144,288"/>
        <s v="$11,155,057"/>
        <s v="$11,101,030"/>
        <s v="$11,082,865"/>
        <s v="$8,799,631"/>
        <s v="$8,770,979"/>
        <s v="$8,762,689"/>
        <s v="$8,757,334"/>
        <s v="$8,738,652"/>
        <s v="$8,732,769"/>
        <s v="$8,712,671"/>
        <s v="$8,699,473"/>
        <s v="$8,669,853"/>
        <s v="$8,662,826"/>
        <s v="$7,020,264"/>
        <s v="$7,015,949"/>
        <s v="$6,977,656"/>
        <s v="$6,955,385"/>
        <s v="$6,922,422"/>
        <s v="$6,916,559"/>
        <s v="$6,910,668"/>
        <s v="$6,901,123"/>
        <s v="$6,897,513"/>
        <s v="$6,894,766"/>
        <s v="$5,328,756"/>
        <s v="$5,322,203"/>
        <s v="$5,321,075"/>
        <s v="$5,289,262"/>
        <s v="$5,279,826"/>
        <s v="$5,273,359"/>
        <s v="$5,254,151"/>
        <s v="$5,249,160"/>
        <s v="$5,236,511"/>
        <s v="$5,209,385"/>
        <s v="$4,203,318"/>
        <s v="$4,202,448"/>
        <s v="$4,193,254"/>
        <s v="$4,174,785"/>
        <s v="$4,163,952"/>
        <s v="$4,148,747"/>
        <s v="$4,145,259"/>
        <s v="$4,140,168"/>
        <s v="$4,138,839"/>
        <s v="$4,130,541"/>
        <s v="$3,350,959"/>
        <s v="$3,346,569"/>
        <s v="$3,339,357"/>
        <s v="$3,333,341"/>
        <s v="$3,321,989"/>
        <s v="$3,318,891"/>
        <s v="$3,316,153"/>
        <s v="$3,296,073"/>
        <s v="$3,290,369"/>
        <s v="$3,283,841"/>
        <s v="$2,780,822"/>
        <s v="$2,775,444"/>
        <s v="$2,758,101"/>
        <s v="$2,752,249"/>
        <s v="$2,740,226"/>
        <s v="$2,725,328"/>
        <s v="$2,721,575"/>
        <s v="$2,718,841"/>
        <s v="$2,717,949"/>
        <s v="$2,715,332"/>
        <s v="$2,203,902"/>
        <s v="$2,196,829"/>
        <s v="$2,192,711"/>
        <s v="$2,193,844"/>
        <s v="$2,190,937"/>
        <s v="$2,187,874"/>
        <s v="$2,179,537"/>
        <s v="$2,178,852"/>
        <s v="$2,188,825"/>
        <s v="$2,167,793"/>
        <s v="$1,756,805"/>
        <s v="$1,755,788"/>
        <s v="$1,754,868"/>
        <s v="$1,752,254"/>
        <s v="$1,747,236"/>
        <s v="$1,745,226"/>
        <s v="$1,739,324"/>
        <s v="$1,738,739"/>
        <s v="$1,736,200"/>
        <s v="$1,733,212"/>
      </sharedItems>
    </cacheField>
    <cacheField name="Volume (24h) USD" numFmtId="0">
      <sharedItems count="188">
        <s v="$61,196,410,006"/>
        <s v="$43,714,609,700"/>
        <s v="$6,447,508,710"/>
        <s v="$117,252,093,277"/>
        <s v="$2,278,674,127"/>
        <s v="$10,127,054,144"/>
        <s v="$17,027,792,821"/>
        <s v="$1,961,967,012"/>
        <s v="$973,139,421"/>
        <s v="$1,153,461,846"/>
        <s v="$64,711,407"/>
        <s v="$71,132,312"/>
        <s v="$29,038,108"/>
        <s v="$24,411,942"/>
        <s v="$29,706,225"/>
        <s v="$21,684,159"/>
        <s v="$7,491,105"/>
        <s v="$23,722,335"/>
        <s v="$19,083,906"/>
        <s v="$27,296,450"/>
        <s v="$64,466,358"/>
        <s v="$26,985,300"/>
        <s v="$30,789,467"/>
        <s v="$8,289,454"/>
        <s v="$1,338,625"/>
        <s v="$4,463,129"/>
        <s v="$1,377,265"/>
        <s v="$4,396,792"/>
        <s v="$5,715,956"/>
        <s v="$325,843"/>
        <s v="$6,721,454"/>
        <s v="$343,471"/>
        <s v="$1,092,882"/>
        <s v="$2,531,201"/>
        <s v="$7,930,906"/>
        <s v="$8,432,086"/>
        <s v="$10,778,520"/>
        <s v="$10,487,502"/>
        <s v="$11,344,790"/>
        <s v="$9,341,488"/>
        <s v="$9,141,404"/>
        <s v="$9,108,166"/>
        <s v="$24,699"/>
        <s v="$295,825"/>
        <s v="$4,522,686"/>
        <s v="$6,787,116"/>
        <s v="$4,342,188"/>
        <s v="$14,947,172"/>
        <s v="$10,238,715"/>
        <s v="N/A"/>
        <s v="$13,787,251"/>
        <s v="$1,249,114"/>
        <s v="$5,327,551"/>
        <s v="$9,047,350"/>
        <s v="$2,058,149"/>
        <s v="$76,515"/>
        <s v="$8,267,657"/>
        <s v="$27,805,860"/>
        <s v="$213,098"/>
        <s v="$2,564,140"/>
        <s v="$35,491"/>
        <s v="$758,766"/>
        <s v="$10,853,972"/>
        <s v="$19,016,000"/>
        <s v="$339,268"/>
        <s v="$10,189,722"/>
        <s v="$401,821"/>
        <s v="$10,068,683"/>
        <s v="$68,082,352"/>
        <s v="$121,069"/>
        <s v="$7,857,060"/>
        <s v="$129,282"/>
        <s v="$5,538,677"/>
        <s v="$9,778,739"/>
        <s v="$50,371,789"/>
        <s v="$1,391,859"/>
        <s v="$75,600"/>
        <s v="$18,844,509"/>
        <s v="$8,324,722"/>
        <s v="$467,706"/>
        <s v="$6,727,701"/>
        <s v="$9,982,050"/>
        <s v="$11,510,400"/>
        <s v="$1,225,263"/>
        <s v="$2,642,277"/>
        <s v="$64,349"/>
        <s v="$1,704,625"/>
        <s v="$5,524,554"/>
        <s v="$43,405"/>
        <s v="$228,239"/>
        <s v="$706,323"/>
        <s v="$357,326"/>
        <s v="$5,622,803"/>
        <s v="$181,555"/>
        <s v="$1,002"/>
        <s v="$189,918"/>
        <s v="$4,765,140"/>
        <s v="$4,492,892"/>
        <s v="$119,734"/>
        <s v="$32,485,149"/>
        <s v="$138"/>
        <s v="$499,518"/>
        <s v="$6,112,676"/>
        <s v="$4,251,361"/>
        <s v="$316,134"/>
        <s v="$542,805"/>
        <s v="$1,406,872"/>
        <s v="$686,075"/>
        <s v="$34,241"/>
        <s v="$810,252"/>
        <s v="$8,799,764"/>
        <s v="$6,405,267"/>
        <s v="$25,910"/>
        <s v="$95,241"/>
        <s v="$1,157,910"/>
        <s v="$19,472"/>
        <s v="$233,918"/>
        <s v="$105,278"/>
        <s v="$8,599,503"/>
        <s v="$50,214,459"/>
        <s v="$10"/>
        <s v="$1,784,357"/>
        <s v="$1,018,996"/>
        <s v="$849,245"/>
        <s v="$31,161"/>
        <s v="$260,752"/>
        <s v="$7,734,230"/>
        <s v="$229,548"/>
        <s v="$65,907"/>
        <s v="$146,941"/>
        <s v="$6,780"/>
        <s v="$425,962"/>
        <s v="$87,808"/>
        <s v="$187,469"/>
        <s v="$340,331"/>
        <s v="$321,408"/>
        <s v="$4,164,781"/>
        <s v="$3,754,649"/>
        <s v="$59,834"/>
        <s v="$30,255"/>
        <s v="$1,013,267"/>
        <s v="$846,710"/>
        <s v="$27,503"/>
        <s v="$64,548"/>
        <s v="$2,582,102"/>
        <s v="$289,972"/>
        <s v="$369,327"/>
        <s v="$10,230,683"/>
        <s v="$96,917"/>
        <s v="$8,766"/>
        <s v="$106,213"/>
        <s v="$847"/>
        <s v="$355,240"/>
        <s v="$331,094"/>
        <s v="$18,420"/>
        <s v="$1,613,699"/>
        <s v="$875,780"/>
        <s v="$2,394,175"/>
        <s v="$95,553"/>
        <s v="$1,991,360"/>
        <s v="$19,915"/>
        <s v="$123,380"/>
        <s v="$492,884"/>
        <s v="$78,498"/>
        <s v="$248,901"/>
        <s v="$650,212"/>
        <s v="$225,992"/>
        <s v="$9,317"/>
        <s v="$93,501"/>
        <s v="$86,410"/>
        <s v="$475,091"/>
        <s v="$537,558"/>
        <s v="$181,224"/>
        <s v="$55,232"/>
        <s v="$238,266"/>
        <s v="$49,762"/>
        <s v="$1,268"/>
        <s v="$3,030"/>
        <s v="$69,711"/>
        <s v="$90,761"/>
        <s v="$403,029"/>
        <s v="$637"/>
        <s v="$73,794"/>
        <s v="$99,738"/>
        <s v="$57,798"/>
        <s v="$28,022"/>
        <s v="$52"/>
        <s v="$105,335"/>
      </sharedItems>
    </cacheField>
    <cacheField name="Circulating Supply" numFmtId="0">
      <sharedItems count="192">
        <s v="19.91M"/>
        <s v="120.7M"/>
        <s v="59.48B"/>
        <s v="167.2B"/>
        <s v="139.28M"/>
        <s v="540.67M"/>
        <s v="69.15B"/>
        <s v="150.69B"/>
        <s v="94.66B"/>
        <s v="35.72B"/>
        <s v="687.95M"/>
        <s v="16.18M"/>
        <s v="74.48B"/>
        <s v="5.74B"/>
        <s v="986.06T"/>
        <s v="1.6B"/>
        <s v="83.73M"/>
        <s v="1B"/>
        <s v="1.41B"/>
        <s v="1.96B"/>
        <s v="436.26M"/>
        <s v="356.55M"/>
        <s v="1.25B"/>
        <s v="30.84B"/>
        <s v="626.67M"/>
        <s v="643.12M"/>
        <s v="3.47B"/>
        <s v="7.14B"/>
        <s v="538.36M"/>
        <s v="258.97M"/>
        <s v="1.9B"/>
        <s v="132.63M"/>
        <s v="131.95M"/>
        <s v="989.35M"/>
        <s v="465.83M"/>
        <s v="128.9M"/>
        <s v="2.59B"/>
        <s v="4.79B"/>
        <s v="1.87B"/>
        <s v="30.08M"/>
        <s v="203.02M"/>
        <s v="54.05M"/>
        <s v="124.06M"/>
        <s v="30M"/>
        <s v="998.46M"/>
        <s v="1.35B"/>
        <s v="190.9M"/>
        <s v="999.99M"/>
        <s v="999.96M"/>
        <s v="95.68M"/>
        <s v="2B"/>
        <s v="86.14M"/>
        <s v="7.8B"/>
        <s v="783.57M"/>
        <s v="21.29B"/>
        <s v="5.26M"/>
        <s v="340.13M"/>
        <s v="6.09M"/>
        <s v="11.82B"/>
        <s v="28.3M"/>
        <s v="67.93M"/>
        <s v="6.17B"/>
        <s v="1.92B"/>
        <s v="672.7M"/>
        <s v="179.2M"/>
        <s v="3.64B"/>
        <s v="107.05M"/>
        <s v="99.66M"/>
        <s v="44.05M"/>
        <s v="177.96M"/>
        <s v="218.43M"/>
        <s v="246.36M"/>
        <s v="1.71B"/>
        <s v="1.16B"/>
        <s v="39.03M"/>
        <s v="311.3M"/>
        <s v="5.73B"/>
        <s v="28.27M"/>
        <s v="1.51B"/>
        <s v="935.81M"/>
        <s v="818.17M"/>
        <s v="6.67B"/>
        <s v="41.65M"/>
        <s v="420.69T"/>
        <s v="1.22B"/>
        <s v="236.99M"/>
        <s v="268.88M"/>
        <s v="999.97M"/>
        <s v="29.86M"/>
        <s v="19.01M"/>
        <s v="500M"/>
        <s v="946.97M"/>
        <s v="230.25M"/>
        <s v="3.39B"/>
        <s v="479.99M"/>
        <s v="1.98B"/>
        <s v="280M"/>
        <s v="850.96M"/>
        <s v="1.1M"/>
        <s v="133.39M"/>
        <s v="2.09B"/>
        <s v="40.64B"/>
        <s v="69B"/>
        <s v="439.65M"/>
        <s v="487.69M"/>
        <s v="899.59T"/>
        <s v="73.46M"/>
        <s v="969.99M"/>
        <s v="263.73M"/>
        <s v="670.18M"/>
        <s v="200M"/>
        <s v="34.59M"/>
        <s v="60.97M"/>
        <s v="899.84M"/>
        <s v="2.62B"/>
        <s v="247.73T"/>
        <s v="51.39M"/>
        <s v="22.79B"/>
        <s v="8.8M"/>
        <s v="2.59M"/>
        <s v="9.8M"/>
        <s v="990.28M"/>
        <s v="240.6M"/>
        <s v="191.31M"/>
        <s v="99.99M"/>
        <s v="220.1M"/>
        <s v="87.82M"/>
        <s v="29.74M"/>
        <s v="10M"/>
        <s v="274.53M"/>
        <s v="201.12M"/>
        <s v="359.59M"/>
        <s v="393.4B"/>
        <s v="4.99M"/>
        <s v="23.06B"/>
        <s v="6.93B"/>
        <s v="50.99M"/>
        <s v="1.4B"/>
        <s v="88.03M"/>
        <s v="20.38M"/>
        <s v="905.3M"/>
        <s v="471M"/>
        <s v="91.22M"/>
        <s v="75.91M"/>
        <s v="579.84K"/>
        <s v="17.27M"/>
        <s v="999.68M"/>
        <s v="213.09M"/>
        <s v="960.42T"/>
        <s v="113.53M"/>
        <s v="4.28B"/>
        <s v="6B"/>
        <s v="150.75M"/>
        <s v="1.05B"/>
        <s v="9.37M"/>
        <s v="20.03M"/>
        <s v="4.37B"/>
        <s v="5B"/>
        <s v="20.64M"/>
        <s v="2.69B"/>
        <s v="8.29B"/>
        <s v="61.46M"/>
        <s v="251.34M"/>
        <s v="787.4M"/>
        <s v="90.23M"/>
        <s v="10B"/>
        <s v="888.88M"/>
        <s v="553.85M"/>
        <s v="787M"/>
        <s v="483.88M"/>
        <s v="1.04M"/>
        <s v="37.72M"/>
        <s v="993.5M"/>
        <s v="8.04M"/>
        <s v="320.72T"/>
        <s v="151.66M"/>
        <s v="409.5B"/>
        <s v="70.59M"/>
        <s v="382.95M"/>
        <s v="1T"/>
        <s v="685.09M"/>
        <s v="7.23M"/>
        <s v="57.34M"/>
        <s v="599.88T"/>
        <s v="671.09M"/>
        <s v="86.06M"/>
        <s v="51.98M"/>
        <s v="110.37M"/>
        <s v="266.69M"/>
        <s v="29.7B"/>
        <s v="239.74M"/>
        <s v="927.74M"/>
      </sharedItems>
    </cacheField>
    <cacheField name="Price_Num" numFmtId="0">
      <sharedItems containsSemiMixedTypes="0" containsString="0" containsNumber="1" minValue="1.759e-5" maxValue="112396.23" count="197">
        <n v="112396.23"/>
        <n v="4631.69"/>
        <n v="3.02"/>
        <n v="1"/>
        <n v="864.91"/>
        <n v="208.97"/>
        <n v="0.9997"/>
        <n v="0.2217"/>
        <n v="0.3502"/>
        <n v="0.8693"/>
        <n v="0.9995"/>
        <n v="42.45"/>
        <n v="0.009181"/>
        <n v="0.1171"/>
        <n v="0.066662"/>
        <n v="0.3909"/>
        <n v="7.42"/>
        <n v="0.5774"/>
        <n v="0.4049"/>
        <n v="0.2882"/>
        <n v="4.54"/>
        <n v="5.48"/>
        <n v="0.02395"/>
        <n v="1.1"/>
        <n v="0.9983"/>
        <n v="0.1745"/>
        <n v="0.07629"/>
        <n v="0.9998"/>
        <n v="1.94"/>
        <n v="0.07137"/>
        <n v="0.9996"/>
        <n v="0.1332"/>
        <n v="0.2781"/>
        <n v="0.04956"/>
        <n v="0.02674"/>
        <n v="0.06809"/>
        <n v="4.24"/>
        <n v="0.4326"/>
        <n v="1.62"/>
        <n v="0.6995"/>
        <n v="2.88"/>
        <n v="0.08647"/>
        <n v="0.06401"/>
        <n v="0.4504"/>
        <n v="0.08568"/>
        <n v="0.08543"/>
        <n v="0.8861"/>
        <n v="0.03141"/>
        <n v="0.7292"/>
        <n v="0.00804"/>
        <n v="0.07982"/>
        <n v="0.002927"/>
        <n v="11.79"/>
        <n v="0.1816"/>
        <n v="10.12"/>
        <n v="0.00521"/>
        <n v="2.17"/>
        <n v="0.6727"/>
        <n v="0.007354"/>
        <n v="0.02359"/>
        <n v="0.06741"/>
        <n v="0.2525"/>
        <n v="0.01237"/>
        <n v="0.4205"/>
        <n v="0.4502"/>
        <n v="1.01"/>
        <n v="0.249"/>
        <n v="0.1618"/>
        <n v="0.1431"/>
        <n v="0.02046"/>
        <n v="0.03011"/>
        <n v="0.8987"/>
        <n v="0.1125"/>
        <n v="0.006097"/>
        <n v="1.23"/>
        <n v="0.02275"/>
        <n v="0.03687"/>
        <n v="0.03186"/>
        <n v="0.003897"/>
        <n v="0.6222"/>
        <n v="0.07615"/>
        <n v="0.02106"/>
        <n v="0.02575"/>
        <n v="0.1085"/>
        <n v="0.09556"/>
        <n v="0.0255"/>
        <n v="0.8529"/>
        <n v="0.9988"/>
        <n v="0.03792"/>
        <n v="0.02001"/>
        <n v="0.08172"/>
        <n v="0.005502"/>
        <n v="0.03889"/>
        <n v="0.00937"/>
        <n v="0.06639"/>
        <n v="0.02178"/>
        <n v="16.85"/>
        <n v="0.1108"/>
        <n v="0.007013"/>
        <n v="0.0003612"/>
        <n v="0.0002118"/>
        <n v="0.03322"/>
        <n v="0.02987"/>
        <n v="0.071613"/>
        <n v="0.01444"/>
        <n v="0.1963"/>
        <n v="0.01483"/>
        <n v="0.04302"/>
        <n v="0.01686"/>
        <n v="0.05637"/>
        <n v="0.3249"/>
        <n v="0.1833"/>
        <n v="0.01242"/>
        <n v="0.004238"/>
        <n v="0.074502"/>
        <n v="0.2159"/>
        <n v="0.0004861"/>
        <n v="0.9993"/>
        <n v="3.38"/>
        <n v="0.894"/>
        <n v="0.008843"/>
        <n v="0.03631"/>
        <n v="0.04564"/>
        <n v="0.08713"/>
        <n v="0.03952"/>
        <n v="0.09871"/>
        <n v="0.2912"/>
        <n v="0.702"/>
        <n v="0.02555"/>
        <n v="0.03469"/>
        <n v="0.01934"/>
        <n v="1.759e-5"/>
        <n v="1.38"/>
        <n v="0.0002995"/>
        <n v="0.0009944"/>
        <n v="0.1352"/>
        <n v="0.004908"/>
        <n v="0.06052"/>
        <n v="0.261"/>
        <n v="0.005877"/>
        <n v="0.01122"/>
        <n v="0.05787"/>
        <n v="0.06946"/>
        <n v="9.06"/>
        <n v="0.3037"/>
        <n v="0.005238"/>
        <n v="0.02444"/>
        <n v="0.084376"/>
        <n v="0.03701"/>
        <n v="0.0009776"/>
        <n v="0.0006957"/>
        <n v="0.02762"/>
        <n v="0.003939"/>
        <n v="0.4422"/>
        <n v="0.2066"/>
        <n v="0.000947"/>
        <n v="0.0008261"/>
        <n v="0.0007666"/>
        <n v="0.162"/>
        <n v="0.001237"/>
        <n v="0.0004016"/>
        <n v="0.05404"/>
        <n v="0.0132"/>
        <n v="0.004211"/>
        <n v="0.03652"/>
        <n v="0.000329"/>
        <n v="0.003694"/>
        <n v="0.00502"/>
        <n v="0.003526"/>
        <n v="0.002758"/>
        <n v="0.005687"/>
        <n v="2.63"/>
        <n v="0.07225"/>
        <n v="0.002739"/>
        <n v="0.338"/>
        <n v="0.088474"/>
        <n v="0.0179"/>
        <n v="0.055381"/>
        <n v="0.03111"/>
        <n v="0.005725"/>
        <n v="0.052193"/>
        <n v="0.003197"/>
        <n v="0.3023"/>
        <n v="0.038"/>
        <n v="0.083632"/>
        <n v="0.003261"/>
        <n v="0.2167"/>
        <n v="0.02041"/>
        <n v="0.001755"/>
        <n v="0.03375"/>
        <n v="0.01587"/>
        <n v="0.006551"/>
        <n v="0.001085"/>
        <n v="5.854e-5"/>
        <n v="0.007252"/>
        <n v="0.001871"/>
        <n v="0.003466"/>
      </sharedItems>
    </cacheField>
    <cacheField name="Volume_Num" numFmtId="0">
      <sharedItems containsSemiMixedTypes="0" containsString="0" containsNumber="1" containsInteger="1" minValue="0" maxValue="117252093277" count="188">
        <n v="61196410006"/>
        <n v="43714609700"/>
        <n v="6447508710"/>
        <n v="117252093277"/>
        <n v="2278674127"/>
        <n v="10127054144"/>
        <n v="17027792821"/>
        <n v="1961967012"/>
        <n v="973139421"/>
        <n v="1153461846"/>
        <n v="64711407"/>
        <n v="71132312"/>
        <n v="29038108"/>
        <n v="24411942"/>
        <n v="29706225"/>
        <n v="21684159"/>
        <n v="7491105"/>
        <n v="23722335"/>
        <n v="19083906"/>
        <n v="27296450"/>
        <n v="64466358"/>
        <n v="26985300"/>
        <n v="30789467"/>
        <n v="8289454"/>
        <n v="1338625"/>
        <n v="4463129"/>
        <n v="1377265"/>
        <n v="4396792"/>
        <n v="5715956"/>
        <n v="325843"/>
        <n v="6721454"/>
        <n v="343471"/>
        <n v="1092882"/>
        <n v="2531201"/>
        <n v="7930906"/>
        <n v="8432086"/>
        <n v="10778520"/>
        <n v="10487502"/>
        <n v="11344790"/>
        <n v="9341488"/>
        <n v="9141404"/>
        <n v="9108166"/>
        <n v="24699"/>
        <n v="295825"/>
        <n v="4522686"/>
        <n v="6787116"/>
        <n v="4342188"/>
        <n v="14947172"/>
        <n v="10238715"/>
        <n v="0"/>
        <n v="13787251"/>
        <n v="1249114"/>
        <n v="5327551"/>
        <n v="9047350"/>
        <n v="2058149"/>
        <n v="76515"/>
        <n v="8267657"/>
        <n v="27805860"/>
        <n v="213098"/>
        <n v="2564140"/>
        <n v="35491"/>
        <n v="758766"/>
        <n v="10853972"/>
        <n v="19016000"/>
        <n v="339268"/>
        <n v="10189722"/>
        <n v="401821"/>
        <n v="10068683"/>
        <n v="68082352"/>
        <n v="121069"/>
        <n v="7857060"/>
        <n v="129282"/>
        <n v="5538677"/>
        <n v="9778739"/>
        <n v="50371789"/>
        <n v="1391859"/>
        <n v="75600"/>
        <n v="18844509"/>
        <n v="8324722"/>
        <n v="467706"/>
        <n v="6727701"/>
        <n v="9982050"/>
        <n v="11510400"/>
        <n v="1225263"/>
        <n v="2642277"/>
        <n v="64349"/>
        <n v="1704625"/>
        <n v="5524554"/>
        <n v="43405"/>
        <n v="228239"/>
        <n v="706323"/>
        <n v="357326"/>
        <n v="5622803"/>
        <n v="181555"/>
        <n v="1002"/>
        <n v="189918"/>
        <n v="4765140"/>
        <n v="4492892"/>
        <n v="119734"/>
        <n v="32485149"/>
        <n v="138"/>
        <n v="499518"/>
        <n v="6112676"/>
        <n v="4251361"/>
        <n v="316134"/>
        <n v="542805"/>
        <n v="1406872"/>
        <n v="686075"/>
        <n v="34241"/>
        <n v="810252"/>
        <n v="8799764"/>
        <n v="6405267"/>
        <n v="25910"/>
        <n v="95241"/>
        <n v="1157910"/>
        <n v="19472"/>
        <n v="233918"/>
        <n v="105278"/>
        <n v="8599503"/>
        <n v="50214459"/>
        <n v="10"/>
        <n v="1784357"/>
        <n v="1018996"/>
        <n v="849245"/>
        <n v="31161"/>
        <n v="260752"/>
        <n v="7734230"/>
        <n v="229548"/>
        <n v="65907"/>
        <n v="146941"/>
        <n v="6780"/>
        <n v="425962"/>
        <n v="87808"/>
        <n v="187469"/>
        <n v="340331"/>
        <n v="321408"/>
        <n v="4164781"/>
        <n v="3754649"/>
        <n v="59834"/>
        <n v="30255"/>
        <n v="1013267"/>
        <n v="846710"/>
        <n v="27503"/>
        <n v="64548"/>
        <n v="2582102"/>
        <n v="289972"/>
        <n v="369327"/>
        <n v="10230683"/>
        <n v="96917"/>
        <n v="8766"/>
        <n v="106213"/>
        <n v="847"/>
        <n v="355240"/>
        <n v="331094"/>
        <n v="18420"/>
        <n v="1613699"/>
        <n v="875780"/>
        <n v="2394175"/>
        <n v="95553"/>
        <n v="1991360"/>
        <n v="19915"/>
        <n v="123380"/>
        <n v="492884"/>
        <n v="78498"/>
        <n v="248901"/>
        <n v="650212"/>
        <n v="225992"/>
        <n v="9317"/>
        <n v="93501"/>
        <n v="86410"/>
        <n v="475091"/>
        <n v="537558"/>
        <n v="181224"/>
        <n v="55232"/>
        <n v="238266"/>
        <n v="49762"/>
        <n v="1268"/>
        <n v="3030"/>
        <n v="69711"/>
        <n v="90761"/>
        <n v="403029"/>
        <n v="637"/>
        <n v="73794"/>
        <n v="99738"/>
        <n v="57798"/>
        <n v="28022"/>
        <n v="52"/>
        <n v="105335"/>
      </sharedItems>
    </cacheField>
    <cacheField name="Price Category" numFmtId="0">
      <sharedItems count="2">
        <s v="Above $50"/>
        <s v="$0-$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</r>
  <r>
    <x v="2"/>
    <x v="2"/>
    <x v="2"/>
    <x v="2"/>
    <x v="2"/>
    <x v="2"/>
    <x v="2"/>
    <x v="2"/>
    <x v="2"/>
    <x v="1"/>
  </r>
  <r>
    <x v="3"/>
    <x v="3"/>
    <x v="3"/>
    <x v="3"/>
    <x v="3"/>
    <x v="3"/>
    <x v="3"/>
    <x v="3"/>
    <x v="3"/>
    <x v="1"/>
  </r>
  <r>
    <x v="4"/>
    <x v="4"/>
    <x v="4"/>
    <x v="4"/>
    <x v="4"/>
    <x v="4"/>
    <x v="4"/>
    <x v="4"/>
    <x v="4"/>
    <x v="0"/>
  </r>
  <r>
    <x v="5"/>
    <x v="5"/>
    <x v="5"/>
    <x v="5"/>
    <x v="5"/>
    <x v="5"/>
    <x v="5"/>
    <x v="5"/>
    <x v="5"/>
    <x v="0"/>
  </r>
  <r>
    <x v="6"/>
    <x v="6"/>
    <x v="6"/>
    <x v="6"/>
    <x v="6"/>
    <x v="6"/>
    <x v="6"/>
    <x v="6"/>
    <x v="6"/>
    <x v="1"/>
  </r>
  <r>
    <x v="7"/>
    <x v="7"/>
    <x v="7"/>
    <x v="7"/>
    <x v="7"/>
    <x v="7"/>
    <x v="7"/>
    <x v="7"/>
    <x v="7"/>
    <x v="1"/>
  </r>
  <r>
    <x v="8"/>
    <x v="8"/>
    <x v="8"/>
    <x v="8"/>
    <x v="8"/>
    <x v="8"/>
    <x v="8"/>
    <x v="8"/>
    <x v="8"/>
    <x v="1"/>
  </r>
  <r>
    <x v="9"/>
    <x v="9"/>
    <x v="9"/>
    <x v="9"/>
    <x v="9"/>
    <x v="9"/>
    <x v="9"/>
    <x v="9"/>
    <x v="9"/>
    <x v="1"/>
  </r>
  <r>
    <x v="10"/>
    <x v="10"/>
    <x v="10"/>
    <x v="10"/>
    <x v="10"/>
    <x v="10"/>
    <x v="10"/>
    <x v="10"/>
    <x v="10"/>
    <x v="1"/>
  </r>
  <r>
    <x v="11"/>
    <x v="11"/>
    <x v="11"/>
    <x v="11"/>
    <x v="11"/>
    <x v="11"/>
    <x v="11"/>
    <x v="11"/>
    <x v="11"/>
    <x v="1"/>
  </r>
  <r>
    <x v="12"/>
    <x v="12"/>
    <x v="12"/>
    <x v="12"/>
    <x v="12"/>
    <x v="12"/>
    <x v="12"/>
    <x v="12"/>
    <x v="12"/>
    <x v="1"/>
  </r>
  <r>
    <x v="13"/>
    <x v="13"/>
    <x v="13"/>
    <x v="13"/>
    <x v="13"/>
    <x v="13"/>
    <x v="13"/>
    <x v="13"/>
    <x v="13"/>
    <x v="1"/>
  </r>
  <r>
    <x v="14"/>
    <x v="14"/>
    <x v="14"/>
    <x v="6"/>
    <x v="14"/>
    <x v="14"/>
    <x v="14"/>
    <x v="14"/>
    <x v="14"/>
    <x v="1"/>
  </r>
  <r>
    <x v="15"/>
    <x v="15"/>
    <x v="15"/>
    <x v="14"/>
    <x v="15"/>
    <x v="15"/>
    <x v="15"/>
    <x v="15"/>
    <x v="15"/>
    <x v="1"/>
  </r>
  <r>
    <x v="16"/>
    <x v="16"/>
    <x v="16"/>
    <x v="12"/>
    <x v="16"/>
    <x v="16"/>
    <x v="16"/>
    <x v="16"/>
    <x v="16"/>
    <x v="1"/>
  </r>
  <r>
    <x v="17"/>
    <x v="17"/>
    <x v="17"/>
    <x v="15"/>
    <x v="17"/>
    <x v="17"/>
    <x v="17"/>
    <x v="17"/>
    <x v="17"/>
    <x v="1"/>
  </r>
  <r>
    <x v="18"/>
    <x v="18"/>
    <x v="18"/>
    <x v="16"/>
    <x v="18"/>
    <x v="18"/>
    <x v="18"/>
    <x v="18"/>
    <x v="18"/>
    <x v="1"/>
  </r>
  <r>
    <x v="19"/>
    <x v="19"/>
    <x v="19"/>
    <x v="17"/>
    <x v="19"/>
    <x v="19"/>
    <x v="19"/>
    <x v="19"/>
    <x v="19"/>
    <x v="1"/>
  </r>
  <r>
    <x v="20"/>
    <x v="20"/>
    <x v="20"/>
    <x v="18"/>
    <x v="20"/>
    <x v="20"/>
    <x v="20"/>
    <x v="20"/>
    <x v="20"/>
    <x v="1"/>
  </r>
  <r>
    <x v="21"/>
    <x v="21"/>
    <x v="21"/>
    <x v="19"/>
    <x v="21"/>
    <x v="21"/>
    <x v="21"/>
    <x v="21"/>
    <x v="21"/>
    <x v="1"/>
  </r>
  <r>
    <x v="22"/>
    <x v="22"/>
    <x v="3"/>
    <x v="20"/>
    <x v="22"/>
    <x v="22"/>
    <x v="22"/>
    <x v="3"/>
    <x v="22"/>
    <x v="1"/>
  </r>
  <r>
    <x v="23"/>
    <x v="23"/>
    <x v="22"/>
    <x v="21"/>
    <x v="23"/>
    <x v="23"/>
    <x v="23"/>
    <x v="22"/>
    <x v="23"/>
    <x v="1"/>
  </r>
  <r>
    <x v="24"/>
    <x v="24"/>
    <x v="23"/>
    <x v="15"/>
    <x v="24"/>
    <x v="24"/>
    <x v="24"/>
    <x v="23"/>
    <x v="24"/>
    <x v="1"/>
  </r>
  <r>
    <x v="25"/>
    <x v="25"/>
    <x v="24"/>
    <x v="22"/>
    <x v="25"/>
    <x v="25"/>
    <x v="25"/>
    <x v="24"/>
    <x v="25"/>
    <x v="1"/>
  </r>
  <r>
    <x v="26"/>
    <x v="26"/>
    <x v="25"/>
    <x v="23"/>
    <x v="26"/>
    <x v="26"/>
    <x v="26"/>
    <x v="25"/>
    <x v="26"/>
    <x v="1"/>
  </r>
  <r>
    <x v="27"/>
    <x v="27"/>
    <x v="26"/>
    <x v="24"/>
    <x v="27"/>
    <x v="27"/>
    <x v="27"/>
    <x v="26"/>
    <x v="27"/>
    <x v="1"/>
  </r>
  <r>
    <x v="28"/>
    <x v="28"/>
    <x v="27"/>
    <x v="25"/>
    <x v="28"/>
    <x v="28"/>
    <x v="28"/>
    <x v="27"/>
    <x v="28"/>
    <x v="1"/>
  </r>
  <r>
    <x v="29"/>
    <x v="29"/>
    <x v="28"/>
    <x v="26"/>
    <x v="29"/>
    <x v="29"/>
    <x v="29"/>
    <x v="28"/>
    <x v="29"/>
    <x v="1"/>
  </r>
  <r>
    <x v="30"/>
    <x v="30"/>
    <x v="29"/>
    <x v="18"/>
    <x v="30"/>
    <x v="30"/>
    <x v="30"/>
    <x v="29"/>
    <x v="30"/>
    <x v="1"/>
  </r>
  <r>
    <x v="31"/>
    <x v="31"/>
    <x v="10"/>
    <x v="22"/>
    <x v="31"/>
    <x v="31"/>
    <x v="31"/>
    <x v="10"/>
    <x v="31"/>
    <x v="1"/>
  </r>
  <r>
    <x v="32"/>
    <x v="32"/>
    <x v="30"/>
    <x v="20"/>
    <x v="32"/>
    <x v="32"/>
    <x v="32"/>
    <x v="30"/>
    <x v="32"/>
    <x v="1"/>
  </r>
  <r>
    <x v="33"/>
    <x v="33"/>
    <x v="31"/>
    <x v="1"/>
    <x v="33"/>
    <x v="33"/>
    <x v="33"/>
    <x v="31"/>
    <x v="33"/>
    <x v="1"/>
  </r>
  <r>
    <x v="34"/>
    <x v="34"/>
    <x v="32"/>
    <x v="27"/>
    <x v="34"/>
    <x v="34"/>
    <x v="34"/>
    <x v="32"/>
    <x v="34"/>
    <x v="1"/>
  </r>
  <r>
    <x v="35"/>
    <x v="35"/>
    <x v="6"/>
    <x v="10"/>
    <x v="35"/>
    <x v="35"/>
    <x v="35"/>
    <x v="6"/>
    <x v="35"/>
    <x v="1"/>
  </r>
  <r>
    <x v="36"/>
    <x v="36"/>
    <x v="33"/>
    <x v="28"/>
    <x v="36"/>
    <x v="36"/>
    <x v="36"/>
    <x v="33"/>
    <x v="36"/>
    <x v="1"/>
  </r>
  <r>
    <x v="37"/>
    <x v="37"/>
    <x v="34"/>
    <x v="29"/>
    <x v="37"/>
    <x v="37"/>
    <x v="37"/>
    <x v="34"/>
    <x v="37"/>
    <x v="1"/>
  </r>
  <r>
    <x v="38"/>
    <x v="38"/>
    <x v="35"/>
    <x v="1"/>
    <x v="38"/>
    <x v="38"/>
    <x v="38"/>
    <x v="35"/>
    <x v="38"/>
    <x v="1"/>
  </r>
  <r>
    <x v="39"/>
    <x v="39"/>
    <x v="36"/>
    <x v="30"/>
    <x v="39"/>
    <x v="39"/>
    <x v="39"/>
    <x v="36"/>
    <x v="39"/>
    <x v="1"/>
  </r>
  <r>
    <x v="40"/>
    <x v="40"/>
    <x v="37"/>
    <x v="31"/>
    <x v="40"/>
    <x v="40"/>
    <x v="40"/>
    <x v="37"/>
    <x v="40"/>
    <x v="1"/>
  </r>
  <r>
    <x v="41"/>
    <x v="41"/>
    <x v="38"/>
    <x v="8"/>
    <x v="41"/>
    <x v="41"/>
    <x v="41"/>
    <x v="38"/>
    <x v="41"/>
    <x v="1"/>
  </r>
  <r>
    <x v="42"/>
    <x v="42"/>
    <x v="39"/>
    <x v="22"/>
    <x v="42"/>
    <x v="42"/>
    <x v="42"/>
    <x v="39"/>
    <x v="42"/>
    <x v="1"/>
  </r>
  <r>
    <x v="43"/>
    <x v="43"/>
    <x v="40"/>
    <x v="32"/>
    <x v="43"/>
    <x v="43"/>
    <x v="43"/>
    <x v="40"/>
    <x v="43"/>
    <x v="1"/>
  </r>
  <r>
    <x v="44"/>
    <x v="44"/>
    <x v="41"/>
    <x v="20"/>
    <x v="44"/>
    <x v="44"/>
    <x v="44"/>
    <x v="41"/>
    <x v="44"/>
    <x v="1"/>
  </r>
  <r>
    <x v="45"/>
    <x v="45"/>
    <x v="42"/>
    <x v="30"/>
    <x v="45"/>
    <x v="45"/>
    <x v="45"/>
    <x v="42"/>
    <x v="45"/>
    <x v="1"/>
  </r>
  <r>
    <x v="46"/>
    <x v="46"/>
    <x v="43"/>
    <x v="13"/>
    <x v="46"/>
    <x v="46"/>
    <x v="46"/>
    <x v="43"/>
    <x v="46"/>
    <x v="1"/>
  </r>
  <r>
    <x v="47"/>
    <x v="47"/>
    <x v="44"/>
    <x v="33"/>
    <x v="47"/>
    <x v="47"/>
    <x v="47"/>
    <x v="44"/>
    <x v="47"/>
    <x v="1"/>
  </r>
  <r>
    <x v="48"/>
    <x v="48"/>
    <x v="45"/>
    <x v="34"/>
    <x v="48"/>
    <x v="48"/>
    <x v="48"/>
    <x v="45"/>
    <x v="48"/>
    <x v="1"/>
  </r>
  <r>
    <x v="49"/>
    <x v="49"/>
    <x v="46"/>
    <x v="22"/>
    <x v="49"/>
    <x v="49"/>
    <x v="49"/>
    <x v="46"/>
    <x v="49"/>
    <x v="1"/>
  </r>
  <r>
    <x v="50"/>
    <x v="50"/>
    <x v="47"/>
    <x v="35"/>
    <x v="50"/>
    <x v="50"/>
    <x v="50"/>
    <x v="47"/>
    <x v="50"/>
    <x v="1"/>
  </r>
  <r>
    <x v="51"/>
    <x v="51"/>
    <x v="48"/>
    <x v="36"/>
    <x v="51"/>
    <x v="51"/>
    <x v="51"/>
    <x v="48"/>
    <x v="51"/>
    <x v="1"/>
  </r>
  <r>
    <x v="52"/>
    <x v="52"/>
    <x v="49"/>
    <x v="13"/>
    <x v="52"/>
    <x v="52"/>
    <x v="52"/>
    <x v="49"/>
    <x v="52"/>
    <x v="1"/>
  </r>
  <r>
    <x v="53"/>
    <x v="53"/>
    <x v="50"/>
    <x v="3"/>
    <x v="53"/>
    <x v="53"/>
    <x v="53"/>
    <x v="50"/>
    <x v="53"/>
    <x v="1"/>
  </r>
  <r>
    <x v="54"/>
    <x v="54"/>
    <x v="51"/>
    <x v="37"/>
    <x v="54"/>
    <x v="54"/>
    <x v="54"/>
    <x v="51"/>
    <x v="54"/>
    <x v="1"/>
  </r>
  <r>
    <x v="55"/>
    <x v="55"/>
    <x v="52"/>
    <x v="4"/>
    <x v="55"/>
    <x v="55"/>
    <x v="55"/>
    <x v="52"/>
    <x v="55"/>
    <x v="1"/>
  </r>
  <r>
    <x v="56"/>
    <x v="56"/>
    <x v="53"/>
    <x v="38"/>
    <x v="56"/>
    <x v="56"/>
    <x v="56"/>
    <x v="53"/>
    <x v="56"/>
    <x v="1"/>
  </r>
  <r>
    <x v="57"/>
    <x v="57"/>
    <x v="54"/>
    <x v="38"/>
    <x v="57"/>
    <x v="57"/>
    <x v="57"/>
    <x v="54"/>
    <x v="57"/>
    <x v="1"/>
  </r>
  <r>
    <x v="58"/>
    <x v="58"/>
    <x v="55"/>
    <x v="39"/>
    <x v="58"/>
    <x v="58"/>
    <x v="58"/>
    <x v="55"/>
    <x v="58"/>
    <x v="1"/>
  </r>
  <r>
    <x v="59"/>
    <x v="59"/>
    <x v="56"/>
    <x v="40"/>
    <x v="59"/>
    <x v="59"/>
    <x v="59"/>
    <x v="56"/>
    <x v="59"/>
    <x v="1"/>
  </r>
  <r>
    <x v="60"/>
    <x v="60"/>
    <x v="57"/>
    <x v="41"/>
    <x v="60"/>
    <x v="60"/>
    <x v="60"/>
    <x v="57"/>
    <x v="60"/>
    <x v="1"/>
  </r>
  <r>
    <x v="61"/>
    <x v="61"/>
    <x v="58"/>
    <x v="22"/>
    <x v="61"/>
    <x v="61"/>
    <x v="61"/>
    <x v="58"/>
    <x v="61"/>
    <x v="1"/>
  </r>
  <r>
    <x v="62"/>
    <x v="62"/>
    <x v="59"/>
    <x v="26"/>
    <x v="62"/>
    <x v="62"/>
    <x v="62"/>
    <x v="59"/>
    <x v="62"/>
    <x v="1"/>
  </r>
  <r>
    <x v="63"/>
    <x v="63"/>
    <x v="60"/>
    <x v="42"/>
    <x v="63"/>
    <x v="63"/>
    <x v="63"/>
    <x v="60"/>
    <x v="63"/>
    <x v="1"/>
  </r>
  <r>
    <x v="64"/>
    <x v="64"/>
    <x v="61"/>
    <x v="4"/>
    <x v="64"/>
    <x v="64"/>
    <x v="64"/>
    <x v="61"/>
    <x v="64"/>
    <x v="1"/>
  </r>
  <r>
    <x v="65"/>
    <x v="65"/>
    <x v="62"/>
    <x v="23"/>
    <x v="65"/>
    <x v="65"/>
    <x v="65"/>
    <x v="62"/>
    <x v="65"/>
    <x v="1"/>
  </r>
  <r>
    <x v="66"/>
    <x v="66"/>
    <x v="63"/>
    <x v="2"/>
    <x v="66"/>
    <x v="66"/>
    <x v="66"/>
    <x v="63"/>
    <x v="66"/>
    <x v="1"/>
  </r>
  <r>
    <x v="67"/>
    <x v="67"/>
    <x v="64"/>
    <x v="10"/>
    <x v="67"/>
    <x v="49"/>
    <x v="67"/>
    <x v="64"/>
    <x v="49"/>
    <x v="1"/>
  </r>
  <r>
    <x v="68"/>
    <x v="68"/>
    <x v="65"/>
    <x v="43"/>
    <x v="68"/>
    <x v="67"/>
    <x v="68"/>
    <x v="65"/>
    <x v="67"/>
    <x v="1"/>
  </r>
  <r>
    <x v="69"/>
    <x v="69"/>
    <x v="66"/>
    <x v="40"/>
    <x v="69"/>
    <x v="68"/>
    <x v="69"/>
    <x v="66"/>
    <x v="68"/>
    <x v="1"/>
  </r>
  <r>
    <x v="70"/>
    <x v="70"/>
    <x v="67"/>
    <x v="25"/>
    <x v="70"/>
    <x v="69"/>
    <x v="70"/>
    <x v="67"/>
    <x v="69"/>
    <x v="1"/>
  </r>
  <r>
    <x v="32"/>
    <x v="71"/>
    <x v="68"/>
    <x v="44"/>
    <x v="71"/>
    <x v="70"/>
    <x v="71"/>
    <x v="68"/>
    <x v="70"/>
    <x v="1"/>
  </r>
  <r>
    <x v="71"/>
    <x v="72"/>
    <x v="69"/>
    <x v="45"/>
    <x v="72"/>
    <x v="71"/>
    <x v="72"/>
    <x v="69"/>
    <x v="71"/>
    <x v="1"/>
  </r>
  <r>
    <x v="72"/>
    <x v="73"/>
    <x v="70"/>
    <x v="46"/>
    <x v="73"/>
    <x v="72"/>
    <x v="73"/>
    <x v="70"/>
    <x v="72"/>
    <x v="1"/>
  </r>
  <r>
    <x v="73"/>
    <x v="74"/>
    <x v="71"/>
    <x v="47"/>
    <x v="74"/>
    <x v="73"/>
    <x v="74"/>
    <x v="71"/>
    <x v="73"/>
    <x v="1"/>
  </r>
  <r>
    <x v="74"/>
    <x v="75"/>
    <x v="72"/>
    <x v="48"/>
    <x v="75"/>
    <x v="74"/>
    <x v="75"/>
    <x v="72"/>
    <x v="74"/>
    <x v="1"/>
  </r>
  <r>
    <x v="75"/>
    <x v="76"/>
    <x v="73"/>
    <x v="39"/>
    <x v="76"/>
    <x v="75"/>
    <x v="76"/>
    <x v="73"/>
    <x v="75"/>
    <x v="1"/>
  </r>
  <r>
    <x v="76"/>
    <x v="77"/>
    <x v="74"/>
    <x v="20"/>
    <x v="77"/>
    <x v="76"/>
    <x v="77"/>
    <x v="74"/>
    <x v="76"/>
    <x v="1"/>
  </r>
  <r>
    <x v="77"/>
    <x v="78"/>
    <x v="75"/>
    <x v="30"/>
    <x v="78"/>
    <x v="77"/>
    <x v="78"/>
    <x v="75"/>
    <x v="77"/>
    <x v="1"/>
  </r>
  <r>
    <x v="78"/>
    <x v="79"/>
    <x v="76"/>
    <x v="49"/>
    <x v="79"/>
    <x v="78"/>
    <x v="79"/>
    <x v="76"/>
    <x v="78"/>
    <x v="1"/>
  </r>
  <r>
    <x v="79"/>
    <x v="80"/>
    <x v="77"/>
    <x v="50"/>
    <x v="80"/>
    <x v="79"/>
    <x v="80"/>
    <x v="77"/>
    <x v="79"/>
    <x v="1"/>
  </r>
  <r>
    <x v="80"/>
    <x v="81"/>
    <x v="78"/>
    <x v="51"/>
    <x v="81"/>
    <x v="80"/>
    <x v="81"/>
    <x v="78"/>
    <x v="80"/>
    <x v="1"/>
  </r>
  <r>
    <x v="81"/>
    <x v="82"/>
    <x v="79"/>
    <x v="7"/>
    <x v="82"/>
    <x v="81"/>
    <x v="82"/>
    <x v="79"/>
    <x v="81"/>
    <x v="1"/>
  </r>
  <r>
    <x v="82"/>
    <x v="83"/>
    <x v="80"/>
    <x v="52"/>
    <x v="83"/>
    <x v="82"/>
    <x v="83"/>
    <x v="80"/>
    <x v="82"/>
    <x v="1"/>
  </r>
  <r>
    <x v="83"/>
    <x v="84"/>
    <x v="81"/>
    <x v="28"/>
    <x v="84"/>
    <x v="83"/>
    <x v="84"/>
    <x v="81"/>
    <x v="83"/>
    <x v="1"/>
  </r>
  <r>
    <x v="84"/>
    <x v="85"/>
    <x v="82"/>
    <x v="53"/>
    <x v="85"/>
    <x v="84"/>
    <x v="17"/>
    <x v="82"/>
    <x v="84"/>
    <x v="1"/>
  </r>
  <r>
    <x v="85"/>
    <x v="86"/>
    <x v="83"/>
    <x v="22"/>
    <x v="86"/>
    <x v="85"/>
    <x v="85"/>
    <x v="83"/>
    <x v="85"/>
    <x v="1"/>
  </r>
  <r>
    <x v="86"/>
    <x v="87"/>
    <x v="84"/>
    <x v="54"/>
    <x v="87"/>
    <x v="86"/>
    <x v="86"/>
    <x v="84"/>
    <x v="86"/>
    <x v="1"/>
  </r>
  <r>
    <x v="87"/>
    <x v="88"/>
    <x v="85"/>
    <x v="6"/>
    <x v="88"/>
    <x v="87"/>
    <x v="87"/>
    <x v="85"/>
    <x v="87"/>
    <x v="1"/>
  </r>
  <r>
    <x v="88"/>
    <x v="89"/>
    <x v="86"/>
    <x v="32"/>
    <x v="89"/>
    <x v="88"/>
    <x v="88"/>
    <x v="86"/>
    <x v="88"/>
    <x v="1"/>
  </r>
  <r>
    <x v="89"/>
    <x v="90"/>
    <x v="87"/>
    <x v="25"/>
    <x v="90"/>
    <x v="89"/>
    <x v="89"/>
    <x v="87"/>
    <x v="89"/>
    <x v="1"/>
  </r>
  <r>
    <x v="90"/>
    <x v="91"/>
    <x v="88"/>
    <x v="22"/>
    <x v="91"/>
    <x v="90"/>
    <x v="90"/>
    <x v="88"/>
    <x v="90"/>
    <x v="1"/>
  </r>
  <r>
    <x v="91"/>
    <x v="92"/>
    <x v="89"/>
    <x v="25"/>
    <x v="92"/>
    <x v="91"/>
    <x v="91"/>
    <x v="89"/>
    <x v="91"/>
    <x v="1"/>
  </r>
  <r>
    <x v="92"/>
    <x v="93"/>
    <x v="90"/>
    <x v="13"/>
    <x v="93"/>
    <x v="92"/>
    <x v="92"/>
    <x v="90"/>
    <x v="92"/>
    <x v="1"/>
  </r>
  <r>
    <x v="93"/>
    <x v="94"/>
    <x v="91"/>
    <x v="55"/>
    <x v="94"/>
    <x v="93"/>
    <x v="93"/>
    <x v="91"/>
    <x v="93"/>
    <x v="1"/>
  </r>
  <r>
    <x v="94"/>
    <x v="95"/>
    <x v="92"/>
    <x v="22"/>
    <x v="95"/>
    <x v="94"/>
    <x v="94"/>
    <x v="92"/>
    <x v="94"/>
    <x v="1"/>
  </r>
  <r>
    <x v="95"/>
    <x v="96"/>
    <x v="93"/>
    <x v="18"/>
    <x v="96"/>
    <x v="95"/>
    <x v="95"/>
    <x v="93"/>
    <x v="95"/>
    <x v="1"/>
  </r>
  <r>
    <x v="96"/>
    <x v="97"/>
    <x v="94"/>
    <x v="3"/>
    <x v="97"/>
    <x v="96"/>
    <x v="96"/>
    <x v="94"/>
    <x v="96"/>
    <x v="1"/>
  </r>
  <r>
    <x v="97"/>
    <x v="98"/>
    <x v="95"/>
    <x v="35"/>
    <x v="98"/>
    <x v="97"/>
    <x v="97"/>
    <x v="95"/>
    <x v="97"/>
    <x v="1"/>
  </r>
  <r>
    <x v="98"/>
    <x v="99"/>
    <x v="96"/>
    <x v="28"/>
    <x v="99"/>
    <x v="98"/>
    <x v="98"/>
    <x v="96"/>
    <x v="98"/>
    <x v="1"/>
  </r>
  <r>
    <x v="99"/>
    <x v="100"/>
    <x v="97"/>
    <x v="56"/>
    <x v="100"/>
    <x v="99"/>
    <x v="99"/>
    <x v="97"/>
    <x v="99"/>
    <x v="1"/>
  </r>
  <r>
    <x v="100"/>
    <x v="101"/>
    <x v="98"/>
    <x v="57"/>
    <x v="101"/>
    <x v="100"/>
    <x v="100"/>
    <x v="98"/>
    <x v="100"/>
    <x v="1"/>
  </r>
  <r>
    <x v="101"/>
    <x v="102"/>
    <x v="99"/>
    <x v="15"/>
    <x v="102"/>
    <x v="101"/>
    <x v="101"/>
    <x v="99"/>
    <x v="101"/>
    <x v="1"/>
  </r>
  <r>
    <x v="102"/>
    <x v="103"/>
    <x v="100"/>
    <x v="13"/>
    <x v="103"/>
    <x v="102"/>
    <x v="102"/>
    <x v="100"/>
    <x v="102"/>
    <x v="1"/>
  </r>
  <r>
    <x v="103"/>
    <x v="104"/>
    <x v="101"/>
    <x v="22"/>
    <x v="104"/>
    <x v="103"/>
    <x v="103"/>
    <x v="101"/>
    <x v="103"/>
    <x v="1"/>
  </r>
  <r>
    <x v="104"/>
    <x v="105"/>
    <x v="102"/>
    <x v="10"/>
    <x v="105"/>
    <x v="104"/>
    <x v="104"/>
    <x v="102"/>
    <x v="104"/>
    <x v="1"/>
  </r>
  <r>
    <x v="105"/>
    <x v="106"/>
    <x v="103"/>
    <x v="58"/>
    <x v="106"/>
    <x v="105"/>
    <x v="105"/>
    <x v="103"/>
    <x v="105"/>
    <x v="1"/>
  </r>
  <r>
    <x v="106"/>
    <x v="107"/>
    <x v="104"/>
    <x v="39"/>
    <x v="107"/>
    <x v="106"/>
    <x v="47"/>
    <x v="104"/>
    <x v="106"/>
    <x v="1"/>
  </r>
  <r>
    <x v="107"/>
    <x v="108"/>
    <x v="105"/>
    <x v="59"/>
    <x v="108"/>
    <x v="107"/>
    <x v="106"/>
    <x v="105"/>
    <x v="107"/>
    <x v="1"/>
  </r>
  <r>
    <x v="108"/>
    <x v="109"/>
    <x v="106"/>
    <x v="45"/>
    <x v="109"/>
    <x v="108"/>
    <x v="107"/>
    <x v="106"/>
    <x v="108"/>
    <x v="1"/>
  </r>
  <r>
    <x v="109"/>
    <x v="110"/>
    <x v="107"/>
    <x v="60"/>
    <x v="110"/>
    <x v="109"/>
    <x v="108"/>
    <x v="107"/>
    <x v="109"/>
    <x v="1"/>
  </r>
  <r>
    <x v="110"/>
    <x v="111"/>
    <x v="108"/>
    <x v="61"/>
    <x v="111"/>
    <x v="110"/>
    <x v="109"/>
    <x v="108"/>
    <x v="110"/>
    <x v="1"/>
  </r>
  <r>
    <x v="111"/>
    <x v="112"/>
    <x v="109"/>
    <x v="29"/>
    <x v="112"/>
    <x v="111"/>
    <x v="110"/>
    <x v="109"/>
    <x v="111"/>
    <x v="1"/>
  </r>
  <r>
    <x v="112"/>
    <x v="113"/>
    <x v="110"/>
    <x v="57"/>
    <x v="113"/>
    <x v="112"/>
    <x v="111"/>
    <x v="110"/>
    <x v="112"/>
    <x v="1"/>
  </r>
  <r>
    <x v="113"/>
    <x v="114"/>
    <x v="111"/>
    <x v="62"/>
    <x v="114"/>
    <x v="113"/>
    <x v="112"/>
    <x v="111"/>
    <x v="113"/>
    <x v="1"/>
  </r>
  <r>
    <x v="114"/>
    <x v="115"/>
    <x v="112"/>
    <x v="63"/>
    <x v="115"/>
    <x v="114"/>
    <x v="113"/>
    <x v="112"/>
    <x v="114"/>
    <x v="1"/>
  </r>
  <r>
    <x v="115"/>
    <x v="116"/>
    <x v="113"/>
    <x v="64"/>
    <x v="116"/>
    <x v="115"/>
    <x v="114"/>
    <x v="113"/>
    <x v="115"/>
    <x v="1"/>
  </r>
  <r>
    <x v="116"/>
    <x v="117"/>
    <x v="114"/>
    <x v="65"/>
    <x v="117"/>
    <x v="116"/>
    <x v="115"/>
    <x v="114"/>
    <x v="116"/>
    <x v="1"/>
  </r>
  <r>
    <x v="117"/>
    <x v="118"/>
    <x v="115"/>
    <x v="34"/>
    <x v="118"/>
    <x v="117"/>
    <x v="116"/>
    <x v="115"/>
    <x v="117"/>
    <x v="1"/>
  </r>
  <r>
    <x v="118"/>
    <x v="119"/>
    <x v="116"/>
    <x v="54"/>
    <x v="119"/>
    <x v="118"/>
    <x v="117"/>
    <x v="116"/>
    <x v="118"/>
    <x v="1"/>
  </r>
  <r>
    <x v="119"/>
    <x v="120"/>
    <x v="117"/>
    <x v="29"/>
    <x v="120"/>
    <x v="119"/>
    <x v="118"/>
    <x v="117"/>
    <x v="119"/>
    <x v="1"/>
  </r>
  <r>
    <x v="120"/>
    <x v="121"/>
    <x v="118"/>
    <x v="36"/>
    <x v="121"/>
    <x v="120"/>
    <x v="119"/>
    <x v="118"/>
    <x v="120"/>
    <x v="1"/>
  </r>
  <r>
    <x v="121"/>
    <x v="122"/>
    <x v="119"/>
    <x v="52"/>
    <x v="122"/>
    <x v="121"/>
    <x v="120"/>
    <x v="119"/>
    <x v="121"/>
    <x v="1"/>
  </r>
  <r>
    <x v="122"/>
    <x v="123"/>
    <x v="120"/>
    <x v="66"/>
    <x v="123"/>
    <x v="122"/>
    <x v="121"/>
    <x v="120"/>
    <x v="122"/>
    <x v="1"/>
  </r>
  <r>
    <x v="123"/>
    <x v="124"/>
    <x v="121"/>
    <x v="39"/>
    <x v="124"/>
    <x v="123"/>
    <x v="122"/>
    <x v="121"/>
    <x v="123"/>
    <x v="1"/>
  </r>
  <r>
    <x v="124"/>
    <x v="125"/>
    <x v="122"/>
    <x v="4"/>
    <x v="125"/>
    <x v="124"/>
    <x v="123"/>
    <x v="122"/>
    <x v="124"/>
    <x v="1"/>
  </r>
  <r>
    <x v="125"/>
    <x v="126"/>
    <x v="123"/>
    <x v="67"/>
    <x v="126"/>
    <x v="125"/>
    <x v="124"/>
    <x v="123"/>
    <x v="125"/>
    <x v="1"/>
  </r>
  <r>
    <x v="126"/>
    <x v="127"/>
    <x v="124"/>
    <x v="58"/>
    <x v="127"/>
    <x v="126"/>
    <x v="125"/>
    <x v="124"/>
    <x v="126"/>
    <x v="1"/>
  </r>
  <r>
    <x v="127"/>
    <x v="128"/>
    <x v="125"/>
    <x v="1"/>
    <x v="128"/>
    <x v="127"/>
    <x v="126"/>
    <x v="125"/>
    <x v="127"/>
    <x v="1"/>
  </r>
  <r>
    <x v="128"/>
    <x v="129"/>
    <x v="126"/>
    <x v="1"/>
    <x v="129"/>
    <x v="128"/>
    <x v="127"/>
    <x v="126"/>
    <x v="128"/>
    <x v="1"/>
  </r>
  <r>
    <x v="129"/>
    <x v="130"/>
    <x v="127"/>
    <x v="22"/>
    <x v="130"/>
    <x v="49"/>
    <x v="128"/>
    <x v="127"/>
    <x v="49"/>
    <x v="1"/>
  </r>
  <r>
    <x v="130"/>
    <x v="131"/>
    <x v="128"/>
    <x v="20"/>
    <x v="131"/>
    <x v="49"/>
    <x v="129"/>
    <x v="128"/>
    <x v="49"/>
    <x v="1"/>
  </r>
  <r>
    <x v="131"/>
    <x v="132"/>
    <x v="129"/>
    <x v="14"/>
    <x v="132"/>
    <x v="129"/>
    <x v="130"/>
    <x v="129"/>
    <x v="129"/>
    <x v="1"/>
  </r>
  <r>
    <x v="132"/>
    <x v="133"/>
    <x v="130"/>
    <x v="20"/>
    <x v="133"/>
    <x v="130"/>
    <x v="131"/>
    <x v="130"/>
    <x v="130"/>
    <x v="1"/>
  </r>
  <r>
    <x v="133"/>
    <x v="134"/>
    <x v="131"/>
    <x v="22"/>
    <x v="134"/>
    <x v="49"/>
    <x v="132"/>
    <x v="131"/>
    <x v="49"/>
    <x v="1"/>
  </r>
  <r>
    <x v="134"/>
    <x v="135"/>
    <x v="132"/>
    <x v="68"/>
    <x v="135"/>
    <x v="131"/>
    <x v="133"/>
    <x v="132"/>
    <x v="131"/>
    <x v="1"/>
  </r>
  <r>
    <x v="135"/>
    <x v="136"/>
    <x v="133"/>
    <x v="6"/>
    <x v="136"/>
    <x v="132"/>
    <x v="134"/>
    <x v="133"/>
    <x v="132"/>
    <x v="1"/>
  </r>
  <r>
    <x v="136"/>
    <x v="137"/>
    <x v="134"/>
    <x v="34"/>
    <x v="137"/>
    <x v="133"/>
    <x v="135"/>
    <x v="134"/>
    <x v="133"/>
    <x v="1"/>
  </r>
  <r>
    <x v="137"/>
    <x v="138"/>
    <x v="135"/>
    <x v="69"/>
    <x v="138"/>
    <x v="134"/>
    <x v="136"/>
    <x v="135"/>
    <x v="134"/>
    <x v="1"/>
  </r>
  <r>
    <x v="138"/>
    <x v="139"/>
    <x v="136"/>
    <x v="45"/>
    <x v="139"/>
    <x v="135"/>
    <x v="137"/>
    <x v="136"/>
    <x v="135"/>
    <x v="1"/>
  </r>
  <r>
    <x v="139"/>
    <x v="140"/>
    <x v="137"/>
    <x v="51"/>
    <x v="140"/>
    <x v="136"/>
    <x v="138"/>
    <x v="137"/>
    <x v="136"/>
    <x v="1"/>
  </r>
  <r>
    <x v="140"/>
    <x v="141"/>
    <x v="138"/>
    <x v="15"/>
    <x v="141"/>
    <x v="137"/>
    <x v="139"/>
    <x v="138"/>
    <x v="137"/>
    <x v="1"/>
  </r>
  <r>
    <x v="141"/>
    <x v="142"/>
    <x v="139"/>
    <x v="15"/>
    <x v="142"/>
    <x v="138"/>
    <x v="140"/>
    <x v="139"/>
    <x v="138"/>
    <x v="1"/>
  </r>
  <r>
    <x v="142"/>
    <x v="143"/>
    <x v="140"/>
    <x v="70"/>
    <x v="143"/>
    <x v="139"/>
    <x v="141"/>
    <x v="140"/>
    <x v="139"/>
    <x v="1"/>
  </r>
  <r>
    <x v="143"/>
    <x v="144"/>
    <x v="141"/>
    <x v="36"/>
    <x v="144"/>
    <x v="140"/>
    <x v="142"/>
    <x v="141"/>
    <x v="140"/>
    <x v="1"/>
  </r>
  <r>
    <x v="144"/>
    <x v="145"/>
    <x v="142"/>
    <x v="9"/>
    <x v="145"/>
    <x v="141"/>
    <x v="143"/>
    <x v="142"/>
    <x v="141"/>
    <x v="1"/>
  </r>
  <r>
    <x v="145"/>
    <x v="146"/>
    <x v="143"/>
    <x v="42"/>
    <x v="146"/>
    <x v="142"/>
    <x v="144"/>
    <x v="143"/>
    <x v="142"/>
    <x v="1"/>
  </r>
  <r>
    <x v="146"/>
    <x v="147"/>
    <x v="144"/>
    <x v="42"/>
    <x v="147"/>
    <x v="143"/>
    <x v="145"/>
    <x v="144"/>
    <x v="143"/>
    <x v="1"/>
  </r>
  <r>
    <x v="147"/>
    <x v="148"/>
    <x v="145"/>
    <x v="71"/>
    <x v="148"/>
    <x v="144"/>
    <x v="146"/>
    <x v="145"/>
    <x v="144"/>
    <x v="1"/>
  </r>
  <r>
    <x v="148"/>
    <x v="149"/>
    <x v="146"/>
    <x v="25"/>
    <x v="149"/>
    <x v="145"/>
    <x v="147"/>
    <x v="146"/>
    <x v="145"/>
    <x v="1"/>
  </r>
  <r>
    <x v="149"/>
    <x v="150"/>
    <x v="147"/>
    <x v="72"/>
    <x v="150"/>
    <x v="146"/>
    <x v="148"/>
    <x v="147"/>
    <x v="146"/>
    <x v="1"/>
  </r>
  <r>
    <x v="150"/>
    <x v="151"/>
    <x v="148"/>
    <x v="22"/>
    <x v="151"/>
    <x v="49"/>
    <x v="149"/>
    <x v="148"/>
    <x v="49"/>
    <x v="1"/>
  </r>
  <r>
    <x v="151"/>
    <x v="152"/>
    <x v="149"/>
    <x v="22"/>
    <x v="152"/>
    <x v="49"/>
    <x v="150"/>
    <x v="149"/>
    <x v="49"/>
    <x v="1"/>
  </r>
  <r>
    <x v="152"/>
    <x v="153"/>
    <x v="150"/>
    <x v="73"/>
    <x v="153"/>
    <x v="147"/>
    <x v="151"/>
    <x v="150"/>
    <x v="147"/>
    <x v="1"/>
  </r>
  <r>
    <x v="153"/>
    <x v="154"/>
    <x v="151"/>
    <x v="8"/>
    <x v="154"/>
    <x v="148"/>
    <x v="152"/>
    <x v="151"/>
    <x v="148"/>
    <x v="1"/>
  </r>
  <r>
    <x v="154"/>
    <x v="155"/>
    <x v="152"/>
    <x v="21"/>
    <x v="155"/>
    <x v="149"/>
    <x v="153"/>
    <x v="152"/>
    <x v="149"/>
    <x v="1"/>
  </r>
  <r>
    <x v="155"/>
    <x v="156"/>
    <x v="153"/>
    <x v="10"/>
    <x v="156"/>
    <x v="49"/>
    <x v="154"/>
    <x v="153"/>
    <x v="49"/>
    <x v="1"/>
  </r>
  <r>
    <x v="156"/>
    <x v="157"/>
    <x v="154"/>
    <x v="74"/>
    <x v="157"/>
    <x v="150"/>
    <x v="155"/>
    <x v="154"/>
    <x v="150"/>
    <x v="1"/>
  </r>
  <r>
    <x v="157"/>
    <x v="158"/>
    <x v="155"/>
    <x v="25"/>
    <x v="158"/>
    <x v="151"/>
    <x v="156"/>
    <x v="155"/>
    <x v="151"/>
    <x v="1"/>
  </r>
  <r>
    <x v="158"/>
    <x v="159"/>
    <x v="156"/>
    <x v="75"/>
    <x v="159"/>
    <x v="152"/>
    <x v="157"/>
    <x v="156"/>
    <x v="152"/>
    <x v="1"/>
  </r>
  <r>
    <x v="159"/>
    <x v="160"/>
    <x v="157"/>
    <x v="22"/>
    <x v="160"/>
    <x v="49"/>
    <x v="156"/>
    <x v="157"/>
    <x v="49"/>
    <x v="1"/>
  </r>
  <r>
    <x v="160"/>
    <x v="161"/>
    <x v="158"/>
    <x v="76"/>
    <x v="161"/>
    <x v="153"/>
    <x v="158"/>
    <x v="158"/>
    <x v="153"/>
    <x v="1"/>
  </r>
  <r>
    <x v="161"/>
    <x v="162"/>
    <x v="159"/>
    <x v="77"/>
    <x v="162"/>
    <x v="154"/>
    <x v="159"/>
    <x v="159"/>
    <x v="154"/>
    <x v="1"/>
  </r>
  <r>
    <x v="162"/>
    <x v="163"/>
    <x v="160"/>
    <x v="78"/>
    <x v="163"/>
    <x v="155"/>
    <x v="160"/>
    <x v="160"/>
    <x v="155"/>
    <x v="1"/>
  </r>
  <r>
    <x v="163"/>
    <x v="164"/>
    <x v="161"/>
    <x v="26"/>
    <x v="164"/>
    <x v="156"/>
    <x v="161"/>
    <x v="161"/>
    <x v="156"/>
    <x v="1"/>
  </r>
  <r>
    <x v="164"/>
    <x v="165"/>
    <x v="162"/>
    <x v="79"/>
    <x v="165"/>
    <x v="157"/>
    <x v="162"/>
    <x v="162"/>
    <x v="157"/>
    <x v="1"/>
  </r>
  <r>
    <x v="165"/>
    <x v="166"/>
    <x v="163"/>
    <x v="25"/>
    <x v="166"/>
    <x v="158"/>
    <x v="163"/>
    <x v="163"/>
    <x v="158"/>
    <x v="1"/>
  </r>
  <r>
    <x v="166"/>
    <x v="167"/>
    <x v="164"/>
    <x v="80"/>
    <x v="167"/>
    <x v="159"/>
    <x v="164"/>
    <x v="164"/>
    <x v="159"/>
    <x v="1"/>
  </r>
  <r>
    <x v="167"/>
    <x v="168"/>
    <x v="165"/>
    <x v="22"/>
    <x v="168"/>
    <x v="160"/>
    <x v="165"/>
    <x v="165"/>
    <x v="160"/>
    <x v="1"/>
  </r>
  <r>
    <x v="168"/>
    <x v="169"/>
    <x v="166"/>
    <x v="81"/>
    <x v="169"/>
    <x v="161"/>
    <x v="166"/>
    <x v="166"/>
    <x v="161"/>
    <x v="1"/>
  </r>
  <r>
    <x v="169"/>
    <x v="170"/>
    <x v="167"/>
    <x v="82"/>
    <x v="170"/>
    <x v="162"/>
    <x v="167"/>
    <x v="167"/>
    <x v="162"/>
    <x v="1"/>
  </r>
  <r>
    <x v="170"/>
    <x v="171"/>
    <x v="168"/>
    <x v="9"/>
    <x v="171"/>
    <x v="163"/>
    <x v="168"/>
    <x v="168"/>
    <x v="163"/>
    <x v="1"/>
  </r>
  <r>
    <x v="171"/>
    <x v="172"/>
    <x v="169"/>
    <x v="22"/>
    <x v="172"/>
    <x v="49"/>
    <x v="47"/>
    <x v="169"/>
    <x v="49"/>
    <x v="1"/>
  </r>
  <r>
    <x v="172"/>
    <x v="173"/>
    <x v="170"/>
    <x v="58"/>
    <x v="173"/>
    <x v="164"/>
    <x v="169"/>
    <x v="170"/>
    <x v="164"/>
    <x v="1"/>
  </r>
  <r>
    <x v="173"/>
    <x v="174"/>
    <x v="171"/>
    <x v="83"/>
    <x v="174"/>
    <x v="165"/>
    <x v="170"/>
    <x v="171"/>
    <x v="165"/>
    <x v="1"/>
  </r>
  <r>
    <x v="174"/>
    <x v="175"/>
    <x v="172"/>
    <x v="49"/>
    <x v="175"/>
    <x v="166"/>
    <x v="171"/>
    <x v="172"/>
    <x v="166"/>
    <x v="1"/>
  </r>
  <r>
    <x v="175"/>
    <x v="176"/>
    <x v="173"/>
    <x v="16"/>
    <x v="176"/>
    <x v="167"/>
    <x v="172"/>
    <x v="173"/>
    <x v="167"/>
    <x v="1"/>
  </r>
  <r>
    <x v="176"/>
    <x v="177"/>
    <x v="174"/>
    <x v="84"/>
    <x v="177"/>
    <x v="168"/>
    <x v="173"/>
    <x v="174"/>
    <x v="168"/>
    <x v="1"/>
  </r>
  <r>
    <x v="177"/>
    <x v="178"/>
    <x v="175"/>
    <x v="36"/>
    <x v="178"/>
    <x v="169"/>
    <x v="174"/>
    <x v="175"/>
    <x v="169"/>
    <x v="1"/>
  </r>
  <r>
    <x v="178"/>
    <x v="179"/>
    <x v="176"/>
    <x v="85"/>
    <x v="179"/>
    <x v="170"/>
    <x v="175"/>
    <x v="176"/>
    <x v="170"/>
    <x v="1"/>
  </r>
  <r>
    <x v="179"/>
    <x v="180"/>
    <x v="177"/>
    <x v="39"/>
    <x v="180"/>
    <x v="171"/>
    <x v="176"/>
    <x v="177"/>
    <x v="171"/>
    <x v="1"/>
  </r>
  <r>
    <x v="180"/>
    <x v="181"/>
    <x v="178"/>
    <x v="32"/>
    <x v="181"/>
    <x v="172"/>
    <x v="177"/>
    <x v="178"/>
    <x v="172"/>
    <x v="1"/>
  </r>
  <r>
    <x v="181"/>
    <x v="182"/>
    <x v="179"/>
    <x v="24"/>
    <x v="182"/>
    <x v="173"/>
    <x v="178"/>
    <x v="179"/>
    <x v="173"/>
    <x v="1"/>
  </r>
  <r>
    <x v="182"/>
    <x v="183"/>
    <x v="180"/>
    <x v="16"/>
    <x v="183"/>
    <x v="174"/>
    <x v="179"/>
    <x v="180"/>
    <x v="174"/>
    <x v="1"/>
  </r>
  <r>
    <x v="183"/>
    <x v="184"/>
    <x v="181"/>
    <x v="22"/>
    <x v="184"/>
    <x v="49"/>
    <x v="180"/>
    <x v="181"/>
    <x v="49"/>
    <x v="1"/>
  </r>
  <r>
    <x v="184"/>
    <x v="185"/>
    <x v="182"/>
    <x v="58"/>
    <x v="185"/>
    <x v="175"/>
    <x v="181"/>
    <x v="182"/>
    <x v="175"/>
    <x v="1"/>
  </r>
  <r>
    <x v="185"/>
    <x v="186"/>
    <x v="183"/>
    <x v="15"/>
    <x v="186"/>
    <x v="176"/>
    <x v="182"/>
    <x v="183"/>
    <x v="176"/>
    <x v="1"/>
  </r>
  <r>
    <x v="186"/>
    <x v="187"/>
    <x v="184"/>
    <x v="86"/>
    <x v="187"/>
    <x v="177"/>
    <x v="183"/>
    <x v="184"/>
    <x v="177"/>
    <x v="1"/>
  </r>
  <r>
    <x v="187"/>
    <x v="188"/>
    <x v="185"/>
    <x v="87"/>
    <x v="188"/>
    <x v="178"/>
    <x v="184"/>
    <x v="185"/>
    <x v="178"/>
    <x v="1"/>
  </r>
  <r>
    <x v="188"/>
    <x v="189"/>
    <x v="186"/>
    <x v="22"/>
    <x v="189"/>
    <x v="49"/>
    <x v="128"/>
    <x v="186"/>
    <x v="49"/>
    <x v="1"/>
  </r>
  <r>
    <x v="189"/>
    <x v="190"/>
    <x v="187"/>
    <x v="25"/>
    <x v="190"/>
    <x v="179"/>
    <x v="185"/>
    <x v="187"/>
    <x v="179"/>
    <x v="1"/>
  </r>
  <r>
    <x v="190"/>
    <x v="191"/>
    <x v="188"/>
    <x v="88"/>
    <x v="191"/>
    <x v="180"/>
    <x v="47"/>
    <x v="188"/>
    <x v="180"/>
    <x v="1"/>
  </r>
  <r>
    <x v="191"/>
    <x v="192"/>
    <x v="189"/>
    <x v="81"/>
    <x v="192"/>
    <x v="181"/>
    <x v="186"/>
    <x v="189"/>
    <x v="181"/>
    <x v="1"/>
  </r>
  <r>
    <x v="192"/>
    <x v="193"/>
    <x v="190"/>
    <x v="39"/>
    <x v="193"/>
    <x v="182"/>
    <x v="187"/>
    <x v="190"/>
    <x v="182"/>
    <x v="1"/>
  </r>
  <r>
    <x v="193"/>
    <x v="194"/>
    <x v="191"/>
    <x v="32"/>
    <x v="194"/>
    <x v="183"/>
    <x v="188"/>
    <x v="191"/>
    <x v="183"/>
    <x v="1"/>
  </r>
  <r>
    <x v="194"/>
    <x v="195"/>
    <x v="192"/>
    <x v="89"/>
    <x v="195"/>
    <x v="184"/>
    <x v="15"/>
    <x v="192"/>
    <x v="184"/>
    <x v="1"/>
  </r>
  <r>
    <x v="195"/>
    <x v="196"/>
    <x v="193"/>
    <x v="20"/>
    <x v="196"/>
    <x v="185"/>
    <x v="189"/>
    <x v="193"/>
    <x v="185"/>
    <x v="1"/>
  </r>
  <r>
    <x v="196"/>
    <x v="197"/>
    <x v="194"/>
    <x v="22"/>
    <x v="197"/>
    <x v="186"/>
    <x v="190"/>
    <x v="194"/>
    <x v="186"/>
    <x v="1"/>
  </r>
  <r>
    <x v="197"/>
    <x v="198"/>
    <x v="195"/>
    <x v="90"/>
    <x v="198"/>
    <x v="187"/>
    <x v="191"/>
    <x v="195"/>
    <x v="187"/>
    <x v="1"/>
  </r>
  <r>
    <x v="198"/>
    <x v="199"/>
    <x v="196"/>
    <x v="22"/>
    <x v="199"/>
    <x v="49"/>
    <x v="90"/>
    <x v="196"/>
    <x v="4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99" firstHeaderRow="1" firstDataRow="1" firstDataCol="1" rowPageCount="1" colPageCount="1"/>
  <pivotFields count="10">
    <pivotField axis="axisRow" compact="0" sortType="descending" showAll="0">
      <items count="200">
        <item x="12"/>
        <item x="141"/>
        <item x="72"/>
        <item x="192"/>
        <item x="88"/>
        <item x="98"/>
        <item x="175"/>
        <item x="118"/>
        <item x="34"/>
        <item x="85"/>
        <item x="178"/>
        <item x="107"/>
        <item x="91"/>
        <item x="76"/>
        <item x="41"/>
        <item x="53"/>
        <item x="44"/>
        <item x="46"/>
        <item x="77"/>
        <item x="45"/>
        <item x="35"/>
        <item x="64"/>
        <item x="54"/>
        <item x="124"/>
        <item x="177"/>
        <item x="36"/>
        <item x="112"/>
        <item x="153"/>
        <item x="27"/>
        <item x="113"/>
        <item x="43"/>
        <item x="110"/>
        <item x="0"/>
        <item x="151"/>
        <item x="14"/>
        <item x="4"/>
        <item x="164"/>
        <item x="57"/>
        <item x="82"/>
        <item x="17"/>
        <item x="96"/>
        <item x="9"/>
        <item x="194"/>
        <item x="159"/>
        <item x="52"/>
        <item x="174"/>
        <item x="136"/>
        <item x="83"/>
        <item x="48"/>
        <item x="120"/>
        <item x="86"/>
        <item x="90"/>
        <item x="163"/>
        <item x="181"/>
        <item x="62"/>
        <item x="19"/>
        <item x="172"/>
        <item x="150"/>
        <item x="40"/>
        <item x="16"/>
        <item x="7"/>
        <item x="81"/>
        <item x="31"/>
        <item x="38"/>
        <item x="146"/>
        <item x="1"/>
        <item x="196"/>
        <item x="95"/>
        <item x="187"/>
        <item x="78"/>
        <item x="22"/>
        <item x="138"/>
        <item x="20"/>
        <item x="15"/>
        <item x="131"/>
        <item x="108"/>
        <item x="158"/>
        <item x="75"/>
        <item x="59"/>
        <item x="169"/>
        <item x="93"/>
        <item x="198"/>
        <item x="28"/>
        <item x="47"/>
        <item x="100"/>
        <item x="170"/>
        <item x="190"/>
        <item x="133"/>
        <item x="106"/>
        <item x="155"/>
        <item x="109"/>
        <item x="197"/>
        <item x="165"/>
        <item x="102"/>
        <item x="21"/>
        <item x="84"/>
        <item x="161"/>
        <item x="123"/>
        <item x="142"/>
        <item x="23"/>
        <item x="173"/>
        <item x="94"/>
        <item x="180"/>
        <item x="184"/>
        <item x="71"/>
        <item x="51"/>
        <item x="70"/>
        <item x="69"/>
        <item x="87"/>
        <item x="160"/>
        <item x="156"/>
        <item x="191"/>
        <item x="179"/>
        <item x="99"/>
        <item x="92"/>
        <item x="24"/>
        <item x="147"/>
        <item x="183"/>
        <item x="63"/>
        <item x="137"/>
        <item x="134"/>
        <item x="168"/>
        <item x="132"/>
        <item x="167"/>
        <item x="128"/>
        <item x="66"/>
        <item x="80"/>
        <item x="189"/>
        <item x="56"/>
        <item x="33"/>
        <item x="157"/>
        <item x="154"/>
        <item x="117"/>
        <item x="103"/>
        <item x="111"/>
        <item x="166"/>
        <item x="13"/>
        <item x="193"/>
        <item x="60"/>
        <item x="58"/>
        <item x="162"/>
        <item x="65"/>
        <item x="101"/>
        <item x="10"/>
        <item x="74"/>
        <item x="135"/>
        <item x="186"/>
        <item x="114"/>
        <item x="97"/>
        <item x="5"/>
        <item x="176"/>
        <item x="67"/>
        <item x="50"/>
        <item x="119"/>
        <item x="122"/>
        <item x="144"/>
        <item x="37"/>
        <item x="121"/>
        <item x="145"/>
        <item x="127"/>
        <item x="115"/>
        <item x="104"/>
        <item x="61"/>
        <item x="126"/>
        <item x="116"/>
        <item x="3"/>
        <item x="182"/>
        <item x="171"/>
        <item x="42"/>
        <item x="55"/>
        <item x="149"/>
        <item x="8"/>
        <item x="125"/>
        <item x="195"/>
        <item x="188"/>
        <item x="148"/>
        <item x="6"/>
        <item x="25"/>
        <item x="39"/>
        <item x="139"/>
        <item x="130"/>
        <item x="26"/>
        <item x="105"/>
        <item x="68"/>
        <item x="18"/>
        <item x="129"/>
        <item x="140"/>
        <item x="30"/>
        <item x="49"/>
        <item x="185"/>
        <item x="73"/>
        <item x="152"/>
        <item x="79"/>
        <item x="2"/>
        <item x="32"/>
        <item x="11"/>
        <item x="29"/>
        <item x="143"/>
        <item x="8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Page" compact="0" multipleItemSelectionAllowed="1" showAll="0">
      <items count="3">
        <item x="1"/>
        <item h="1" x="0"/>
        <item t="default"/>
      </items>
    </pivotField>
  </pivotFields>
  <rowFields count="1">
    <field x="0"/>
  </rowFields>
  <rowItems count="196">
    <i>
      <x v="165"/>
    </i>
    <i>
      <x v="176"/>
    </i>
    <i>
      <x v="193"/>
    </i>
    <i>
      <x v="60"/>
    </i>
    <i>
      <x v="41"/>
    </i>
    <i>
      <x v="171"/>
    </i>
    <i>
      <x v="195"/>
    </i>
    <i>
      <x v="107"/>
    </i>
    <i>
      <x v="143"/>
    </i>
    <i>
      <x v="72"/>
    </i>
    <i>
      <x v="144"/>
    </i>
    <i>
      <x v="153"/>
    </i>
    <i>
      <x v="113"/>
    </i>
    <i>
      <x v="70"/>
    </i>
    <i>
      <x v="34"/>
    </i>
    <i>
      <x/>
    </i>
    <i>
      <x v="37"/>
    </i>
    <i>
      <x v="55"/>
    </i>
    <i>
      <x v="94"/>
    </i>
    <i>
      <x v="136"/>
    </i>
    <i>
      <x v="39"/>
    </i>
    <i>
      <x v="73"/>
    </i>
    <i>
      <x v="184"/>
    </i>
    <i>
      <x v="118"/>
    </i>
    <i>
      <x v="18"/>
    </i>
    <i>
      <x v="83"/>
    </i>
    <i>
      <x v="152"/>
    </i>
    <i>
      <x v="38"/>
    </i>
    <i>
      <x v="63"/>
    </i>
    <i>
      <x v="54"/>
    </i>
    <i>
      <x v="25"/>
    </i>
    <i>
      <x v="156"/>
    </i>
    <i>
      <x v="48"/>
    </i>
    <i>
      <x v="191"/>
    </i>
    <i>
      <x v="141"/>
    </i>
    <i>
      <x v="183"/>
    </i>
    <i>
      <x v="61"/>
    </i>
    <i>
      <x v="190"/>
    </i>
    <i>
      <x v="178"/>
    </i>
    <i>
      <x v="58"/>
    </i>
    <i>
      <x v="14"/>
    </i>
    <i>
      <x v="15"/>
    </i>
    <i>
      <x v="194"/>
    </i>
    <i>
      <x v="31"/>
    </i>
    <i>
      <x v="7"/>
    </i>
    <i>
      <x v="20"/>
    </i>
    <i>
      <x v="69"/>
    </i>
    <i>
      <x v="99"/>
    </i>
    <i>
      <x v="128"/>
    </i>
    <i>
      <x v="8"/>
    </i>
    <i>
      <x v="163"/>
    </i>
    <i>
      <x v="59"/>
    </i>
    <i>
      <x v="19"/>
    </i>
    <i>
      <x v="126"/>
    </i>
    <i>
      <x v="187"/>
    </i>
    <i>
      <x v="134"/>
    </i>
    <i>
      <x v="93"/>
    </i>
    <i>
      <x v="82"/>
    </i>
    <i>
      <x v="114"/>
    </i>
    <i>
      <x v="2"/>
    </i>
    <i>
      <x v="108"/>
    </i>
    <i>
      <x v="44"/>
    </i>
    <i>
      <x v="40"/>
    </i>
    <i>
      <x v="16"/>
    </i>
    <i>
      <x v="148"/>
    </i>
    <i>
      <x v="177"/>
    </i>
    <i>
      <x v="28"/>
    </i>
    <i>
      <x v="17"/>
    </i>
    <i>
      <x v="133"/>
    </i>
    <i>
      <x v="179"/>
    </i>
    <i>
      <x v="186"/>
    </i>
    <i>
      <x v="95"/>
    </i>
    <i>
      <x v="116"/>
    </i>
    <i>
      <x v="78"/>
    </i>
    <i>
      <x v="129"/>
    </i>
    <i>
      <x v="36"/>
    </i>
    <i>
      <x v="22"/>
    </i>
    <i>
      <x v="135"/>
    </i>
    <i>
      <x v="157"/>
    </i>
    <i>
      <x v="50"/>
    </i>
    <i>
      <x v="140"/>
    </i>
    <i>
      <x v="88"/>
    </i>
    <i>
      <x v="77"/>
    </i>
    <i>
      <x v="181"/>
    </i>
    <i>
      <x v="115"/>
    </i>
    <i>
      <x v="105"/>
    </i>
    <i>
      <x v="47"/>
    </i>
    <i>
      <x v="147"/>
    </i>
    <i>
      <x v="154"/>
    </i>
    <i>
      <x v="197"/>
    </i>
    <i>
      <x v="52"/>
    </i>
    <i>
      <x v="97"/>
    </i>
    <i>
      <x v="155"/>
    </i>
    <i>
      <x v="90"/>
    </i>
    <i>
      <x v="162"/>
    </i>
    <i>
      <x v="51"/>
    </i>
    <i>
      <x v="11"/>
    </i>
    <i>
      <x v="100"/>
    </i>
    <i>
      <x v="182"/>
    </i>
    <i>
      <x v="112"/>
    </i>
    <i>
      <x v="142"/>
    </i>
    <i>
      <x v="79"/>
    </i>
    <i>
      <x v="10"/>
    </i>
    <i>
      <x v="192"/>
    </i>
    <i>
      <x v="120"/>
    </i>
    <i>
      <x v="86"/>
    </i>
    <i>
      <x v="125"/>
    </i>
    <i>
      <x v="170"/>
    </i>
    <i>
      <x v="12"/>
    </i>
    <i>
      <x v="76"/>
    </i>
    <i>
      <x v="62"/>
    </i>
    <i>
      <x v="119"/>
    </i>
    <i>
      <x v="21"/>
    </i>
    <i>
      <x v="109"/>
    </i>
    <i>
      <x v="196"/>
    </i>
    <i>
      <x v="71"/>
    </i>
    <i>
      <x v="161"/>
    </i>
    <i>
      <x v="30"/>
    </i>
    <i>
      <x v="175"/>
    </i>
    <i>
      <x v="172"/>
    </i>
    <i>
      <x v="56"/>
    </i>
    <i>
      <x v="166"/>
    </i>
    <i>
      <x v="164"/>
    </i>
    <i>
      <x v="159"/>
    </i>
    <i>
      <x v="198"/>
    </i>
    <i>
      <x v="45"/>
    </i>
    <i>
      <x v="139"/>
    </i>
    <i>
      <x v="67"/>
    </i>
    <i>
      <x v="46"/>
    </i>
    <i>
      <x v="80"/>
    </i>
    <i>
      <x v="102"/>
    </i>
    <i>
      <x v="74"/>
    </i>
    <i>
      <x v="104"/>
    </i>
    <i>
      <x v="121"/>
    </i>
    <i>
      <x v="106"/>
    </i>
    <i>
      <x v="5"/>
    </i>
    <i>
      <x v="110"/>
    </i>
    <i>
      <x v="91"/>
    </i>
    <i>
      <x v="132"/>
    </i>
    <i>
      <x v="137"/>
    </i>
    <i>
      <x v="27"/>
    </i>
    <i>
      <x v="92"/>
    </i>
    <i>
      <x v="29"/>
    </i>
    <i>
      <x v="150"/>
    </i>
    <i>
      <x v="127"/>
    </i>
    <i>
      <x v="145"/>
    </i>
    <i>
      <x v="24"/>
    </i>
    <i>
      <x v="85"/>
    </i>
    <i>
      <x v="169"/>
    </i>
    <i>
      <x v="13"/>
    </i>
    <i>
      <x v="3"/>
    </i>
    <i>
      <x v="68"/>
    </i>
    <i>
      <x v="124"/>
    </i>
    <i>
      <x v="64"/>
    </i>
    <i>
      <x v="9"/>
    </i>
    <i>
      <x v="1"/>
    </i>
    <i>
      <x v="42"/>
    </i>
    <i>
      <x v="53"/>
    </i>
    <i>
      <x v="103"/>
    </i>
    <i>
      <x v="4"/>
    </i>
    <i>
      <x v="138"/>
    </i>
    <i>
      <x v="75"/>
    </i>
    <i>
      <x v="23"/>
    </i>
    <i>
      <x v="98"/>
    </i>
    <i>
      <x v="173"/>
    </i>
    <i>
      <x v="158"/>
    </i>
    <i>
      <x v="26"/>
    </i>
    <i>
      <x v="168"/>
    </i>
    <i>
      <x v="123"/>
    </i>
    <i>
      <x v="160"/>
    </i>
    <i>
      <x v="96"/>
    </i>
    <i>
      <x v="6"/>
    </i>
    <i>
      <x v="131"/>
    </i>
    <i>
      <x v="122"/>
    </i>
    <i>
      <x v="146"/>
    </i>
    <i>
      <x v="189"/>
    </i>
    <i>
      <x v="101"/>
    </i>
    <i>
      <x v="130"/>
    </i>
    <i>
      <x v="111"/>
    </i>
    <i>
      <x v="84"/>
    </i>
    <i>
      <x v="66"/>
    </i>
    <i>
      <x v="49"/>
    </i>
    <i>
      <x v="188"/>
    </i>
    <i>
      <x v="185"/>
    </i>
    <i>
      <x v="180"/>
    </i>
    <i>
      <x v="174"/>
    </i>
    <i>
      <x v="167"/>
    </i>
    <i>
      <x v="151"/>
    </i>
    <i>
      <x v="117"/>
    </i>
    <i>
      <x v="89"/>
    </i>
    <i>
      <x v="87"/>
    </i>
    <i>
      <x v="81"/>
    </i>
    <i>
      <x v="57"/>
    </i>
    <i>
      <x v="43"/>
    </i>
    <i>
      <x v="33"/>
    </i>
    <i t="grand">
      <x/>
    </i>
  </rowItems>
  <colItems count="1">
    <i/>
  </colItems>
  <pageFields count="1">
    <pageField fld="9"/>
  </pageFields>
  <dataFields count="1">
    <dataField name="Sum of Volume_Num" fld="8" baseField="0" baseItem="0"/>
  </dataFields>
  <formats count="2">
    <format dxfId="0">
      <pivotArea collapsedLevelsAreSubtotals="1" fieldPosition="0">
        <references count="1">
          <reference field="0" count="1" selected="0">
            <x v="165"/>
          </reference>
        </references>
      </pivotArea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abSelected="1" zoomScale="89" zoomScaleNormal="89" topLeftCell="A6" workbookViewId="0">
      <selection activeCell="O17" sqref="O17"/>
    </sheetView>
  </sheetViews>
  <sheetFormatPr defaultColWidth="8.88888888888889" defaultRowHeight="14.4" outlineLevelCol="6"/>
  <cols>
    <col min="1" max="1" width="33.8888888888889" style="1"/>
    <col min="2" max="2" width="21" style="1"/>
    <col min="3" max="6" width="8.88888888888889" style="1"/>
    <col min="7" max="7" width="18.6666666666667" style="1" customWidth="1"/>
    <col min="8" max="16384" width="8.88888888888889" style="1"/>
  </cols>
  <sheetData>
    <row r="1" spans="1:7">
      <c r="A1" s="1" t="s">
        <v>0</v>
      </c>
      <c r="B1" s="1" t="s">
        <v>1</v>
      </c>
    </row>
    <row r="3" spans="1:7">
      <c r="A3" s="1" t="s">
        <v>2</v>
      </c>
      <c r="B3" s="1" t="s">
        <v>3</v>
      </c>
    </row>
    <row r="4" spans="1:7">
      <c r="A4" s="1" t="s">
        <v>4</v>
      </c>
      <c r="B4" s="1">
        <v>117252093277</v>
      </c>
    </row>
    <row r="5" spans="1:7">
      <c r="A5" s="1" t="s">
        <v>5</v>
      </c>
      <c r="B5" s="1">
        <v>17027792821</v>
      </c>
    </row>
    <row r="6" spans="1:7">
      <c r="A6" s="1" t="s">
        <v>6</v>
      </c>
      <c r="B6" s="1">
        <v>6447508710</v>
      </c>
      <c r="C6" s="1"/>
      <c r="F6" s="5" t="s">
        <v>2</v>
      </c>
      <c r="G6" s="5" t="s">
        <v>3</v>
      </c>
    </row>
    <row r="7" spans="1:7">
      <c r="A7" s="1" t="s">
        <v>7</v>
      </c>
      <c r="B7" s="1">
        <v>1961967012</v>
      </c>
      <c r="C7" s="1"/>
      <c r="F7" s="1" t="s">
        <v>4</v>
      </c>
      <c r="G7" s="1">
        <v>117252093277</v>
      </c>
    </row>
    <row r="8" spans="1:7">
      <c r="A8" s="1" t="s">
        <v>8</v>
      </c>
      <c r="B8" s="1">
        <v>1153461846</v>
      </c>
      <c r="C8" s="1"/>
      <c r="F8" s="1" t="s">
        <v>5</v>
      </c>
      <c r="G8" s="1">
        <v>17027792821</v>
      </c>
    </row>
    <row r="9" spans="1:7">
      <c r="A9" s="1" t="s">
        <v>9</v>
      </c>
      <c r="B9" s="1">
        <v>973139421</v>
      </c>
      <c r="C9" s="1"/>
      <c r="F9" s="1" t="s">
        <v>6</v>
      </c>
      <c r="G9" s="1">
        <v>6447508710</v>
      </c>
    </row>
    <row r="10" spans="1:7">
      <c r="A10" s="1" t="s">
        <v>10</v>
      </c>
      <c r="B10" s="1">
        <v>71132312</v>
      </c>
      <c r="C10" s="1"/>
      <c r="F10" s="1" t="s">
        <v>7</v>
      </c>
      <c r="G10" s="1">
        <v>1961967012</v>
      </c>
    </row>
    <row r="11" spans="1:7">
      <c r="A11" s="1" t="s">
        <v>11</v>
      </c>
      <c r="B11" s="1">
        <v>68082352</v>
      </c>
      <c r="C11" s="1"/>
      <c r="F11" s="1" t="s">
        <v>8</v>
      </c>
      <c r="G11" s="1">
        <v>1153461846</v>
      </c>
    </row>
    <row r="12" spans="1:7">
      <c r="A12" s="1" t="s">
        <v>12</v>
      </c>
      <c r="B12" s="1">
        <v>64711407</v>
      </c>
      <c r="C12" s="1"/>
      <c r="F12" s="1" t="s">
        <v>13</v>
      </c>
      <c r="G12" s="1">
        <f>GETPIVOTDATA("Volume_Num",$A$3)-SUM(F6:G11)</f>
        <v>2089225019</v>
      </c>
    </row>
    <row r="13" spans="1:7">
      <c r="A13" s="1" t="s">
        <v>14</v>
      </c>
      <c r="B13" s="1">
        <v>64466358</v>
      </c>
    </row>
    <row r="14" spans="1:7">
      <c r="A14" s="1" t="s">
        <v>15</v>
      </c>
      <c r="B14" s="1">
        <v>50371789</v>
      </c>
    </row>
    <row r="15" spans="1:7">
      <c r="A15" s="1" t="s">
        <v>16</v>
      </c>
      <c r="B15" s="1">
        <v>50214459</v>
      </c>
    </row>
    <row r="16" spans="1:7">
      <c r="A16" s="1" t="s">
        <v>17</v>
      </c>
      <c r="B16" s="1">
        <v>32485149</v>
      </c>
    </row>
    <row r="17" spans="1:2">
      <c r="A17" s="1" t="s">
        <v>18</v>
      </c>
      <c r="B17" s="1">
        <v>30789467</v>
      </c>
    </row>
    <row r="18" spans="1:2">
      <c r="A18" s="1" t="s">
        <v>19</v>
      </c>
      <c r="B18" s="1">
        <v>29706225</v>
      </c>
    </row>
    <row r="19" spans="1:2">
      <c r="A19" s="1" t="s">
        <v>20</v>
      </c>
      <c r="B19" s="1">
        <v>29038108</v>
      </c>
    </row>
    <row r="20" spans="1:2">
      <c r="A20" s="1" t="s">
        <v>21</v>
      </c>
      <c r="B20" s="1">
        <v>27805860</v>
      </c>
    </row>
    <row r="21" spans="1:2">
      <c r="A21" s="1" t="s">
        <v>22</v>
      </c>
      <c r="B21" s="1">
        <v>27296450</v>
      </c>
    </row>
    <row r="22" spans="1:2">
      <c r="A22" s="1" t="s">
        <v>23</v>
      </c>
      <c r="B22" s="1">
        <v>26985300</v>
      </c>
    </row>
    <row r="23" spans="1:2">
      <c r="A23" s="1" t="s">
        <v>24</v>
      </c>
      <c r="B23" s="1">
        <v>24411942</v>
      </c>
    </row>
    <row r="24" spans="1:2">
      <c r="A24" s="1" t="s">
        <v>25</v>
      </c>
      <c r="B24" s="1">
        <v>23722335</v>
      </c>
    </row>
    <row r="25" spans="1:2">
      <c r="A25" s="1" t="s">
        <v>26</v>
      </c>
      <c r="B25" s="1">
        <v>21684159</v>
      </c>
    </row>
    <row r="26" spans="1:2">
      <c r="A26" s="1" t="s">
        <v>27</v>
      </c>
      <c r="B26" s="1">
        <v>19083906</v>
      </c>
    </row>
    <row r="27" spans="1:2">
      <c r="A27" s="1" t="s">
        <v>28</v>
      </c>
      <c r="B27" s="1">
        <v>19016000</v>
      </c>
    </row>
    <row r="28" spans="1:2">
      <c r="A28" s="1" t="s">
        <v>29</v>
      </c>
      <c r="B28" s="1">
        <v>18844509</v>
      </c>
    </row>
    <row r="29" spans="1:2">
      <c r="A29" s="1" t="s">
        <v>30</v>
      </c>
      <c r="B29" s="1">
        <v>14947172</v>
      </c>
    </row>
    <row r="30" spans="1:2">
      <c r="A30" s="1" t="s">
        <v>31</v>
      </c>
      <c r="B30" s="1">
        <v>13787251</v>
      </c>
    </row>
    <row r="31" spans="1:2">
      <c r="A31" s="1" t="s">
        <v>32</v>
      </c>
      <c r="B31" s="1">
        <v>11510400</v>
      </c>
    </row>
    <row r="32" spans="1:2">
      <c r="A32" s="1" t="s">
        <v>33</v>
      </c>
      <c r="B32" s="1">
        <v>11344790</v>
      </c>
    </row>
    <row r="33" spans="1:2">
      <c r="A33" s="1" t="s">
        <v>34</v>
      </c>
      <c r="B33" s="1">
        <v>10853972</v>
      </c>
    </row>
    <row r="34" spans="1:2">
      <c r="A34" s="1" t="s">
        <v>35</v>
      </c>
      <c r="B34" s="1">
        <v>10778520</v>
      </c>
    </row>
    <row r="35" spans="1:2">
      <c r="A35" s="1" t="s">
        <v>36</v>
      </c>
      <c r="B35" s="1">
        <v>10487502</v>
      </c>
    </row>
    <row r="36" spans="1:2">
      <c r="A36" s="1" t="s">
        <v>37</v>
      </c>
      <c r="B36" s="1">
        <v>10238715</v>
      </c>
    </row>
    <row r="37" spans="1:2">
      <c r="A37" s="1" t="s">
        <v>38</v>
      </c>
      <c r="B37" s="1">
        <v>10230683</v>
      </c>
    </row>
    <row r="38" spans="1:2">
      <c r="A38" s="1" t="s">
        <v>39</v>
      </c>
      <c r="B38" s="1">
        <v>10189722</v>
      </c>
    </row>
    <row r="39" spans="1:2">
      <c r="A39" s="1" t="s">
        <v>40</v>
      </c>
      <c r="B39" s="1">
        <v>10068683</v>
      </c>
    </row>
    <row r="40" spans="1:2">
      <c r="A40" s="1" t="s">
        <v>41</v>
      </c>
      <c r="B40" s="1">
        <v>9982050</v>
      </c>
    </row>
    <row r="41" spans="1:2">
      <c r="A41" s="1" t="s">
        <v>42</v>
      </c>
      <c r="B41" s="1">
        <v>9778739</v>
      </c>
    </row>
    <row r="42" spans="1:2">
      <c r="A42" s="1" t="s">
        <v>43</v>
      </c>
      <c r="B42" s="1">
        <v>9341488</v>
      </c>
    </row>
    <row r="43" spans="1:2">
      <c r="A43" s="1" t="s">
        <v>44</v>
      </c>
      <c r="B43" s="1">
        <v>9141404</v>
      </c>
    </row>
    <row r="44" spans="1:2">
      <c r="A44" s="1" t="s">
        <v>45</v>
      </c>
      <c r="B44" s="1">
        <v>9108166</v>
      </c>
    </row>
    <row r="45" spans="1:2">
      <c r="A45" s="1" t="s">
        <v>46</v>
      </c>
      <c r="B45" s="1">
        <v>9047350</v>
      </c>
    </row>
    <row r="46" spans="1:2">
      <c r="A46" s="1" t="s">
        <v>47</v>
      </c>
      <c r="B46" s="1">
        <v>8949942</v>
      </c>
    </row>
    <row r="47" spans="1:2">
      <c r="A47" s="1" t="s">
        <v>48</v>
      </c>
      <c r="B47" s="1">
        <v>8799764</v>
      </c>
    </row>
    <row r="48" spans="1:2">
      <c r="A48" s="1" t="s">
        <v>49</v>
      </c>
      <c r="B48" s="1">
        <v>8599503</v>
      </c>
    </row>
    <row r="49" spans="1:2">
      <c r="A49" s="1" t="s">
        <v>50</v>
      </c>
      <c r="B49" s="1">
        <v>8432086</v>
      </c>
    </row>
    <row r="50" spans="1:2">
      <c r="A50" s="1" t="s">
        <v>51</v>
      </c>
      <c r="B50" s="1">
        <v>8324722</v>
      </c>
    </row>
    <row r="51" spans="1:2">
      <c r="A51" s="1" t="s">
        <v>52</v>
      </c>
      <c r="B51" s="1">
        <v>8289454</v>
      </c>
    </row>
    <row r="52" spans="1:2">
      <c r="A52" s="1" t="s">
        <v>53</v>
      </c>
      <c r="B52" s="1">
        <v>8267657</v>
      </c>
    </row>
    <row r="53" spans="1:2">
      <c r="A53" s="1" t="s">
        <v>54</v>
      </c>
      <c r="B53" s="1">
        <v>7930906</v>
      </c>
    </row>
    <row r="54" spans="1:2">
      <c r="A54" s="1" t="s">
        <v>55</v>
      </c>
      <c r="B54" s="1">
        <v>7734230</v>
      </c>
    </row>
    <row r="55" spans="1:2">
      <c r="A55" s="1" t="s">
        <v>56</v>
      </c>
      <c r="B55" s="1">
        <v>7491105</v>
      </c>
    </row>
    <row r="56" spans="1:2">
      <c r="A56" s="1" t="s">
        <v>57</v>
      </c>
      <c r="B56" s="1">
        <v>6787116</v>
      </c>
    </row>
    <row r="57" spans="1:2">
      <c r="A57" s="1" t="s">
        <v>58</v>
      </c>
      <c r="B57" s="1">
        <v>6727701</v>
      </c>
    </row>
    <row r="58" spans="1:2">
      <c r="A58" s="1" t="s">
        <v>59</v>
      </c>
      <c r="B58" s="1">
        <v>6721454</v>
      </c>
    </row>
    <row r="59" spans="1:2">
      <c r="A59" s="1" t="s">
        <v>60</v>
      </c>
      <c r="B59" s="1">
        <v>6405267</v>
      </c>
    </row>
    <row r="60" spans="1:2">
      <c r="A60" s="1" t="s">
        <v>61</v>
      </c>
      <c r="B60" s="1">
        <v>6112676</v>
      </c>
    </row>
    <row r="61" spans="1:2">
      <c r="A61" s="1" t="s">
        <v>62</v>
      </c>
      <c r="B61" s="1">
        <v>5715956</v>
      </c>
    </row>
    <row r="62" spans="1:2">
      <c r="A62" s="1" t="s">
        <v>63</v>
      </c>
      <c r="B62" s="1">
        <v>5622803</v>
      </c>
    </row>
    <row r="63" spans="1:2">
      <c r="A63" s="1" t="s">
        <v>64</v>
      </c>
      <c r="B63" s="1">
        <v>5538677</v>
      </c>
    </row>
    <row r="64" spans="1:2">
      <c r="A64" s="1" t="s">
        <v>65</v>
      </c>
      <c r="B64" s="1">
        <v>5524554</v>
      </c>
    </row>
    <row r="65" spans="1:2">
      <c r="A65" s="1" t="s">
        <v>66</v>
      </c>
      <c r="B65" s="1">
        <v>5327551</v>
      </c>
    </row>
    <row r="66" spans="1:2">
      <c r="A66" s="1" t="s">
        <v>67</v>
      </c>
      <c r="B66" s="1">
        <v>4765140</v>
      </c>
    </row>
    <row r="67" spans="1:2">
      <c r="A67" s="1" t="s">
        <v>68</v>
      </c>
      <c r="B67" s="1">
        <v>4522686</v>
      </c>
    </row>
    <row r="68" spans="1:2">
      <c r="A68" s="1" t="s">
        <v>69</v>
      </c>
      <c r="B68" s="1">
        <v>4492892</v>
      </c>
    </row>
    <row r="69" spans="1:2">
      <c r="A69" s="1" t="s">
        <v>70</v>
      </c>
      <c r="B69" s="1">
        <v>4463129</v>
      </c>
    </row>
    <row r="70" spans="1:2">
      <c r="A70" s="1" t="s">
        <v>71</v>
      </c>
      <c r="B70" s="1">
        <v>4396792</v>
      </c>
    </row>
    <row r="71" spans="1:2">
      <c r="A71" s="1" t="s">
        <v>72</v>
      </c>
      <c r="B71" s="1">
        <v>4342188</v>
      </c>
    </row>
    <row r="72" spans="1:2">
      <c r="A72" s="1" t="s">
        <v>73</v>
      </c>
      <c r="B72" s="1">
        <v>4251361</v>
      </c>
    </row>
    <row r="73" spans="1:2">
      <c r="A73" s="1" t="s">
        <v>74</v>
      </c>
      <c r="B73" s="1">
        <v>4164781</v>
      </c>
    </row>
    <row r="74" spans="1:2">
      <c r="A74" s="1" t="s">
        <v>75</v>
      </c>
      <c r="B74" s="1">
        <v>3754649</v>
      </c>
    </row>
    <row r="75" spans="1:2">
      <c r="A75" s="1" t="s">
        <v>76</v>
      </c>
      <c r="B75" s="1">
        <v>2642277</v>
      </c>
    </row>
    <row r="76" spans="1:2">
      <c r="A76" s="1" t="s">
        <v>77</v>
      </c>
      <c r="B76" s="1">
        <v>2582102</v>
      </c>
    </row>
    <row r="77" spans="1:2">
      <c r="A77" s="1" t="s">
        <v>78</v>
      </c>
      <c r="B77" s="1">
        <v>2564140</v>
      </c>
    </row>
    <row r="78" spans="1:2">
      <c r="A78" s="1" t="s">
        <v>79</v>
      </c>
      <c r="B78" s="1">
        <v>2531201</v>
      </c>
    </row>
    <row r="79" spans="1:2">
      <c r="A79" s="1" t="s">
        <v>80</v>
      </c>
      <c r="B79" s="1">
        <v>2394175</v>
      </c>
    </row>
    <row r="80" spans="1:2">
      <c r="A80" s="1" t="s">
        <v>81</v>
      </c>
      <c r="B80" s="1">
        <v>2058149</v>
      </c>
    </row>
    <row r="81" spans="1:2">
      <c r="A81" s="1" t="s">
        <v>82</v>
      </c>
      <c r="B81" s="1">
        <v>1991360</v>
      </c>
    </row>
    <row r="82" spans="1:2">
      <c r="A82" s="1" t="s">
        <v>83</v>
      </c>
      <c r="B82" s="1">
        <v>1784357</v>
      </c>
    </row>
    <row r="83" spans="1:2">
      <c r="A83" s="1" t="s">
        <v>84</v>
      </c>
      <c r="B83" s="1">
        <v>1704625</v>
      </c>
    </row>
    <row r="84" spans="1:2">
      <c r="A84" s="1" t="s">
        <v>85</v>
      </c>
      <c r="B84" s="1">
        <v>1613699</v>
      </c>
    </row>
    <row r="85" spans="1:2">
      <c r="A85" s="1" t="s">
        <v>86</v>
      </c>
      <c r="B85" s="1">
        <v>1406872</v>
      </c>
    </row>
    <row r="86" spans="1:2">
      <c r="A86" s="1" t="s">
        <v>87</v>
      </c>
      <c r="B86" s="1">
        <v>1391859</v>
      </c>
    </row>
    <row r="87" spans="1:2">
      <c r="A87" s="1" t="s">
        <v>88</v>
      </c>
      <c r="B87" s="1">
        <v>1377265</v>
      </c>
    </row>
    <row r="88" spans="1:2">
      <c r="A88" s="1" t="s">
        <v>89</v>
      </c>
      <c r="B88" s="1">
        <v>1338625</v>
      </c>
    </row>
    <row r="89" spans="1:2">
      <c r="A89" s="1" t="s">
        <v>90</v>
      </c>
      <c r="B89" s="1">
        <v>1249114</v>
      </c>
    </row>
    <row r="90" spans="1:2">
      <c r="A90" s="1" t="s">
        <v>91</v>
      </c>
      <c r="B90" s="1">
        <v>1225263</v>
      </c>
    </row>
    <row r="91" spans="1:2">
      <c r="A91" s="1" t="s">
        <v>92</v>
      </c>
      <c r="B91" s="1">
        <v>1157910</v>
      </c>
    </row>
    <row r="92" spans="1:2">
      <c r="A92" s="1" t="s">
        <v>93</v>
      </c>
      <c r="B92" s="1">
        <v>1018996</v>
      </c>
    </row>
    <row r="93" spans="1:2">
      <c r="A93" s="1" t="s">
        <v>94</v>
      </c>
      <c r="B93" s="1">
        <v>1013267</v>
      </c>
    </row>
    <row r="94" spans="1:2">
      <c r="A94" s="1" t="s">
        <v>95</v>
      </c>
      <c r="B94" s="1">
        <v>875780</v>
      </c>
    </row>
    <row r="95" spans="1:2">
      <c r="A95" s="1" t="s">
        <v>96</v>
      </c>
      <c r="B95" s="1">
        <v>849245</v>
      </c>
    </row>
    <row r="96" spans="1:2">
      <c r="A96" s="1" t="s">
        <v>97</v>
      </c>
      <c r="B96" s="1">
        <v>846710</v>
      </c>
    </row>
    <row r="97" spans="1:2">
      <c r="A97" s="1" t="s">
        <v>98</v>
      </c>
      <c r="B97" s="1">
        <v>810252</v>
      </c>
    </row>
    <row r="98" spans="1:2">
      <c r="A98" s="1" t="s">
        <v>99</v>
      </c>
      <c r="B98" s="1">
        <v>758766</v>
      </c>
    </row>
    <row r="99" spans="1:2">
      <c r="A99" s="1" t="s">
        <v>100</v>
      </c>
      <c r="B99" s="1">
        <v>706323</v>
      </c>
    </row>
    <row r="100" spans="1:2">
      <c r="A100" s="1" t="s">
        <v>101</v>
      </c>
      <c r="B100" s="1">
        <v>686075</v>
      </c>
    </row>
    <row r="101" spans="1:2">
      <c r="A101" s="1" t="s">
        <v>102</v>
      </c>
      <c r="B101" s="1">
        <v>650212</v>
      </c>
    </row>
    <row r="102" spans="1:2">
      <c r="A102" s="1" t="s">
        <v>103</v>
      </c>
      <c r="B102" s="1">
        <v>542805</v>
      </c>
    </row>
    <row r="103" spans="1:2">
      <c r="A103" s="1" t="s">
        <v>104</v>
      </c>
      <c r="B103" s="1">
        <v>537558</v>
      </c>
    </row>
    <row r="104" spans="1:2">
      <c r="A104" s="1" t="s">
        <v>105</v>
      </c>
      <c r="B104" s="1">
        <v>499518</v>
      </c>
    </row>
    <row r="105" spans="1:2">
      <c r="A105" s="1" t="s">
        <v>106</v>
      </c>
      <c r="B105" s="1">
        <v>492884</v>
      </c>
    </row>
    <row r="106" spans="1:2">
      <c r="A106" s="1" t="s">
        <v>107</v>
      </c>
      <c r="B106" s="1">
        <v>475091</v>
      </c>
    </row>
    <row r="107" spans="1:2">
      <c r="A107" s="1" t="s">
        <v>108</v>
      </c>
      <c r="B107" s="1">
        <v>467706</v>
      </c>
    </row>
    <row r="108" spans="1:2">
      <c r="A108" s="1" t="s">
        <v>109</v>
      </c>
      <c r="B108" s="1">
        <v>425962</v>
      </c>
    </row>
    <row r="109" spans="1:2">
      <c r="A109" s="1" t="s">
        <v>110</v>
      </c>
      <c r="B109" s="1">
        <v>403029</v>
      </c>
    </row>
    <row r="110" spans="1:2">
      <c r="A110" s="1" t="s">
        <v>111</v>
      </c>
      <c r="B110" s="1">
        <v>401821</v>
      </c>
    </row>
    <row r="111" spans="1:2">
      <c r="A111" s="1" t="s">
        <v>112</v>
      </c>
      <c r="B111" s="1">
        <v>369327</v>
      </c>
    </row>
    <row r="112" spans="1:2">
      <c r="A112" s="1" t="s">
        <v>113</v>
      </c>
      <c r="B112" s="1">
        <v>357326</v>
      </c>
    </row>
    <row r="113" spans="1:2">
      <c r="A113" s="1" t="s">
        <v>114</v>
      </c>
      <c r="B113" s="1">
        <v>355240</v>
      </c>
    </row>
    <row r="114" spans="1:2">
      <c r="A114" s="1" t="s">
        <v>115</v>
      </c>
      <c r="B114" s="1">
        <v>343471</v>
      </c>
    </row>
    <row r="115" spans="1:2">
      <c r="A115" s="1" t="s">
        <v>116</v>
      </c>
      <c r="B115" s="1">
        <v>340331</v>
      </c>
    </row>
    <row r="116" spans="1:2">
      <c r="A116" s="1" t="s">
        <v>117</v>
      </c>
      <c r="B116" s="1">
        <v>339268</v>
      </c>
    </row>
    <row r="117" spans="1:2">
      <c r="A117" s="1" t="s">
        <v>118</v>
      </c>
      <c r="B117" s="1">
        <v>331094</v>
      </c>
    </row>
    <row r="118" spans="1:2">
      <c r="A118" s="1" t="s">
        <v>119</v>
      </c>
      <c r="B118" s="1">
        <v>325843</v>
      </c>
    </row>
    <row r="119" spans="1:2">
      <c r="A119" s="1" t="s">
        <v>120</v>
      </c>
      <c r="B119" s="1">
        <v>321408</v>
      </c>
    </row>
    <row r="120" spans="1:2">
      <c r="A120" s="1" t="s">
        <v>121</v>
      </c>
      <c r="B120" s="1">
        <v>316134</v>
      </c>
    </row>
    <row r="121" spans="1:2">
      <c r="A121" s="1" t="s">
        <v>122</v>
      </c>
      <c r="B121" s="1">
        <v>295825</v>
      </c>
    </row>
    <row r="122" spans="1:2">
      <c r="A122" s="1" t="s">
        <v>123</v>
      </c>
      <c r="B122" s="1">
        <v>289972</v>
      </c>
    </row>
    <row r="123" spans="1:2">
      <c r="A123" s="1" t="s">
        <v>124</v>
      </c>
      <c r="B123" s="1">
        <v>260752</v>
      </c>
    </row>
    <row r="124" spans="1:2">
      <c r="A124" s="1" t="s">
        <v>125</v>
      </c>
      <c r="B124" s="1">
        <v>248901</v>
      </c>
    </row>
    <row r="125" spans="1:2">
      <c r="A125" s="1" t="s">
        <v>126</v>
      </c>
      <c r="B125" s="1">
        <v>238266</v>
      </c>
    </row>
    <row r="126" spans="1:2">
      <c r="A126" s="1" t="s">
        <v>127</v>
      </c>
      <c r="B126" s="1">
        <v>233918</v>
      </c>
    </row>
    <row r="127" spans="1:2">
      <c r="A127" s="1" t="s">
        <v>128</v>
      </c>
      <c r="B127" s="1">
        <v>229548</v>
      </c>
    </row>
    <row r="128" spans="1:2">
      <c r="A128" s="1" t="s">
        <v>129</v>
      </c>
      <c r="B128" s="1">
        <v>228239</v>
      </c>
    </row>
    <row r="129" spans="1:2">
      <c r="A129" s="1" t="s">
        <v>130</v>
      </c>
      <c r="B129" s="1">
        <v>225992</v>
      </c>
    </row>
    <row r="130" spans="1:2">
      <c r="A130" s="1" t="s">
        <v>131</v>
      </c>
      <c r="B130" s="1">
        <v>213098</v>
      </c>
    </row>
    <row r="131" spans="1:2">
      <c r="A131" s="1" t="s">
        <v>132</v>
      </c>
      <c r="B131" s="1">
        <v>189918</v>
      </c>
    </row>
    <row r="132" spans="1:2">
      <c r="A132" s="1" t="s">
        <v>133</v>
      </c>
      <c r="B132" s="1">
        <v>187469</v>
      </c>
    </row>
    <row r="133" spans="1:2">
      <c r="A133" s="1" t="s">
        <v>134</v>
      </c>
      <c r="B133" s="1">
        <v>181555</v>
      </c>
    </row>
    <row r="134" spans="1:2">
      <c r="A134" s="1" t="s">
        <v>135</v>
      </c>
      <c r="B134" s="1">
        <v>181224</v>
      </c>
    </row>
    <row r="135" spans="1:2">
      <c r="A135" s="1" t="s">
        <v>136</v>
      </c>
      <c r="B135" s="1">
        <v>146941</v>
      </c>
    </row>
    <row r="136" spans="1:2">
      <c r="A136" s="1" t="s">
        <v>137</v>
      </c>
      <c r="B136" s="1">
        <v>129282</v>
      </c>
    </row>
    <row r="137" spans="1:2">
      <c r="A137" s="1" t="s">
        <v>138</v>
      </c>
      <c r="B137" s="1">
        <v>123380</v>
      </c>
    </row>
    <row r="138" spans="1:2">
      <c r="A138" s="1" t="s">
        <v>139</v>
      </c>
      <c r="B138" s="1">
        <v>121069</v>
      </c>
    </row>
    <row r="139" spans="1:2">
      <c r="A139" s="1" t="s">
        <v>140</v>
      </c>
      <c r="B139" s="1">
        <v>119734</v>
      </c>
    </row>
    <row r="140" spans="1:2">
      <c r="A140" s="1" t="s">
        <v>141</v>
      </c>
      <c r="B140" s="1">
        <v>106213</v>
      </c>
    </row>
    <row r="141" spans="1:2">
      <c r="A141" s="1" t="s">
        <v>142</v>
      </c>
      <c r="B141" s="1">
        <v>105335</v>
      </c>
    </row>
    <row r="142" spans="1:2">
      <c r="A142" s="1" t="s">
        <v>143</v>
      </c>
      <c r="B142" s="1">
        <v>105278</v>
      </c>
    </row>
    <row r="143" spans="1:2">
      <c r="A143" s="1" t="s">
        <v>144</v>
      </c>
      <c r="B143" s="1">
        <v>99738</v>
      </c>
    </row>
    <row r="144" spans="1:2">
      <c r="A144" s="1" t="s">
        <v>145</v>
      </c>
      <c r="B144" s="1">
        <v>96917</v>
      </c>
    </row>
    <row r="145" spans="1:2">
      <c r="A145" s="1" t="s">
        <v>146</v>
      </c>
      <c r="B145" s="1">
        <v>95553</v>
      </c>
    </row>
    <row r="146" spans="1:2">
      <c r="A146" s="1" t="s">
        <v>147</v>
      </c>
      <c r="B146" s="1">
        <v>95241</v>
      </c>
    </row>
    <row r="147" spans="1:2">
      <c r="A147" s="1" t="s">
        <v>148</v>
      </c>
      <c r="B147" s="1">
        <v>93501</v>
      </c>
    </row>
    <row r="148" spans="1:2">
      <c r="A148" s="1" t="s">
        <v>149</v>
      </c>
      <c r="B148" s="1">
        <v>90761</v>
      </c>
    </row>
    <row r="149" spans="1:2">
      <c r="A149" s="1" t="s">
        <v>150</v>
      </c>
      <c r="B149" s="1">
        <v>87808</v>
      </c>
    </row>
    <row r="150" spans="1:2">
      <c r="A150" s="1" t="s">
        <v>151</v>
      </c>
      <c r="B150" s="1">
        <v>86410</v>
      </c>
    </row>
    <row r="151" spans="1:2">
      <c r="A151" s="1" t="s">
        <v>152</v>
      </c>
      <c r="B151" s="1">
        <v>78498</v>
      </c>
    </row>
    <row r="152" spans="1:2">
      <c r="A152" s="1" t="s">
        <v>153</v>
      </c>
      <c r="B152" s="1">
        <v>76515</v>
      </c>
    </row>
    <row r="153" spans="1:2">
      <c r="A153" s="1" t="s">
        <v>154</v>
      </c>
      <c r="B153" s="1">
        <v>75600</v>
      </c>
    </row>
    <row r="154" spans="1:2">
      <c r="A154" s="1" t="s">
        <v>155</v>
      </c>
      <c r="B154" s="1">
        <v>73794</v>
      </c>
    </row>
    <row r="155" spans="1:2">
      <c r="A155" s="1" t="s">
        <v>156</v>
      </c>
      <c r="B155" s="1">
        <v>69711</v>
      </c>
    </row>
    <row r="156" spans="1:2">
      <c r="A156" s="1" t="s">
        <v>157</v>
      </c>
      <c r="B156" s="1">
        <v>65907</v>
      </c>
    </row>
    <row r="157" spans="1:2">
      <c r="A157" s="1" t="s">
        <v>158</v>
      </c>
      <c r="B157" s="1">
        <v>64548</v>
      </c>
    </row>
    <row r="158" spans="1:2">
      <c r="A158" s="1" t="s">
        <v>159</v>
      </c>
      <c r="B158" s="1">
        <v>64349</v>
      </c>
    </row>
    <row r="159" spans="1:2">
      <c r="A159" s="1" t="s">
        <v>160</v>
      </c>
      <c r="B159" s="1">
        <v>59834</v>
      </c>
    </row>
    <row r="160" spans="1:2">
      <c r="A160" s="1" t="s">
        <v>161</v>
      </c>
      <c r="B160" s="1">
        <v>57798</v>
      </c>
    </row>
    <row r="161" spans="1:2">
      <c r="A161" s="1" t="s">
        <v>162</v>
      </c>
      <c r="B161" s="1">
        <v>55232</v>
      </c>
    </row>
    <row r="162" spans="1:2">
      <c r="A162" s="1" t="s">
        <v>163</v>
      </c>
      <c r="B162" s="1">
        <v>49762</v>
      </c>
    </row>
    <row r="163" spans="1:2">
      <c r="A163" s="1" t="s">
        <v>164</v>
      </c>
      <c r="B163" s="1">
        <v>43405</v>
      </c>
    </row>
    <row r="164" spans="1:2">
      <c r="A164" s="1" t="s">
        <v>165</v>
      </c>
      <c r="B164" s="1">
        <v>35491</v>
      </c>
    </row>
    <row r="165" spans="1:2">
      <c r="A165" s="1" t="s">
        <v>166</v>
      </c>
      <c r="B165" s="1">
        <v>34241</v>
      </c>
    </row>
    <row r="166" spans="1:2">
      <c r="A166" s="1" t="s">
        <v>167</v>
      </c>
      <c r="B166" s="1">
        <v>31161</v>
      </c>
    </row>
    <row r="167" spans="1:2">
      <c r="A167" s="1" t="s">
        <v>168</v>
      </c>
      <c r="B167" s="1">
        <v>30255</v>
      </c>
    </row>
    <row r="168" spans="1:2">
      <c r="A168" s="1" t="s">
        <v>169</v>
      </c>
      <c r="B168" s="1">
        <v>28022</v>
      </c>
    </row>
    <row r="169" spans="1:2">
      <c r="A169" s="1" t="s">
        <v>170</v>
      </c>
      <c r="B169" s="1">
        <v>27503</v>
      </c>
    </row>
    <row r="170" spans="1:2">
      <c r="A170" s="1" t="s">
        <v>171</v>
      </c>
      <c r="B170" s="1">
        <v>25910</v>
      </c>
    </row>
    <row r="171" spans="1:2">
      <c r="A171" s="1" t="s">
        <v>172</v>
      </c>
      <c r="B171" s="1">
        <v>24699</v>
      </c>
    </row>
    <row r="172" spans="1:2">
      <c r="A172" s="1" t="s">
        <v>173</v>
      </c>
      <c r="B172" s="1">
        <v>19915</v>
      </c>
    </row>
    <row r="173" spans="1:2">
      <c r="A173" s="1" t="s">
        <v>174</v>
      </c>
      <c r="B173" s="1">
        <v>19472</v>
      </c>
    </row>
    <row r="174" spans="1:2">
      <c r="A174" s="1" t="s">
        <v>175</v>
      </c>
      <c r="B174" s="1">
        <v>18420</v>
      </c>
    </row>
    <row r="175" spans="1:2">
      <c r="A175" s="1" t="s">
        <v>176</v>
      </c>
      <c r="B175" s="1">
        <v>9317</v>
      </c>
    </row>
    <row r="176" spans="1:2">
      <c r="A176" s="1" t="s">
        <v>177</v>
      </c>
      <c r="B176" s="1">
        <v>8766</v>
      </c>
    </row>
    <row r="177" spans="1:2">
      <c r="A177" s="1" t="s">
        <v>178</v>
      </c>
      <c r="B177" s="1">
        <v>6780</v>
      </c>
    </row>
    <row r="178" spans="1:2">
      <c r="A178" s="1" t="s">
        <v>179</v>
      </c>
      <c r="B178" s="1">
        <v>3030</v>
      </c>
    </row>
    <row r="179" spans="1:2">
      <c r="A179" s="1" t="s">
        <v>180</v>
      </c>
      <c r="B179" s="1">
        <v>1268</v>
      </c>
    </row>
    <row r="180" spans="1:2">
      <c r="A180" s="1" t="s">
        <v>181</v>
      </c>
      <c r="B180" s="1">
        <v>1002</v>
      </c>
    </row>
    <row r="181" spans="1:2">
      <c r="A181" s="1" t="s">
        <v>182</v>
      </c>
      <c r="B181" s="1">
        <v>847</v>
      </c>
    </row>
    <row r="182" spans="1:2">
      <c r="A182" s="1" t="s">
        <v>183</v>
      </c>
      <c r="B182" s="1">
        <v>637</v>
      </c>
    </row>
    <row r="183" spans="1:2">
      <c r="A183" s="1" t="s">
        <v>184</v>
      </c>
      <c r="B183" s="1">
        <v>138</v>
      </c>
    </row>
    <row r="184" spans="1:2">
      <c r="A184" s="1" t="s">
        <v>185</v>
      </c>
      <c r="B184" s="1">
        <v>52</v>
      </c>
    </row>
    <row r="185" spans="1:2">
      <c r="A185" s="1" t="s">
        <v>186</v>
      </c>
      <c r="B185" s="1">
        <v>10</v>
      </c>
    </row>
    <row r="186" spans="1:2">
      <c r="A186" s="1" t="s">
        <v>187</v>
      </c>
      <c r="B186" s="1">
        <v>0</v>
      </c>
    </row>
    <row r="187" spans="1:2">
      <c r="A187" s="1" t="s">
        <v>188</v>
      </c>
      <c r="B187" s="1">
        <v>0</v>
      </c>
    </row>
    <row r="188" spans="1:2">
      <c r="A188" s="1" t="s">
        <v>189</v>
      </c>
      <c r="B188" s="1">
        <v>0</v>
      </c>
    </row>
    <row r="189" spans="1:2">
      <c r="A189" s="1" t="s">
        <v>190</v>
      </c>
      <c r="B189" s="1">
        <v>0</v>
      </c>
    </row>
    <row r="190" spans="1:2">
      <c r="A190" s="1" t="s">
        <v>191</v>
      </c>
      <c r="B190" s="1">
        <v>0</v>
      </c>
    </row>
    <row r="191" spans="1:2">
      <c r="A191" s="1" t="s">
        <v>192</v>
      </c>
      <c r="B191" s="1">
        <v>0</v>
      </c>
    </row>
    <row r="192" spans="1:2">
      <c r="A192" s="1" t="s">
        <v>193</v>
      </c>
      <c r="B192" s="1">
        <v>0</v>
      </c>
    </row>
    <row r="193" spans="1:2">
      <c r="A193" s="1" t="s">
        <v>194</v>
      </c>
      <c r="B193" s="1">
        <v>0</v>
      </c>
    </row>
    <row r="194" spans="1:2">
      <c r="A194" s="1" t="s">
        <v>195</v>
      </c>
      <c r="B194" s="1">
        <v>0</v>
      </c>
    </row>
    <row r="195" spans="1:2">
      <c r="A195" s="1" t="s">
        <v>196</v>
      </c>
      <c r="B195" s="1">
        <v>0</v>
      </c>
    </row>
    <row r="196" spans="1:2">
      <c r="A196" s="1" t="s">
        <v>197</v>
      </c>
      <c r="B196" s="1">
        <v>0</v>
      </c>
    </row>
    <row r="197" spans="1:2">
      <c r="A197" s="1" t="s">
        <v>198</v>
      </c>
      <c r="B197" s="1">
        <v>0</v>
      </c>
    </row>
    <row r="198" spans="1:2">
      <c r="A198" s="1" t="s">
        <v>199</v>
      </c>
      <c r="B198" s="1">
        <v>0</v>
      </c>
    </row>
    <row r="199" spans="1:2">
      <c r="A199" s="1" t="s">
        <v>200</v>
      </c>
      <c r="B199" s="1">
        <v>145932048685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zoomScale="91" zoomScaleNormal="91" topLeftCell="C1" workbookViewId="0">
      <selection activeCell="J15" sqref="J15"/>
    </sheetView>
  </sheetViews>
  <sheetFormatPr defaultColWidth="8.88888888888889" defaultRowHeight="14.4"/>
  <cols>
    <col min="1" max="1" width="10.4444444444444" style="1" customWidth="1"/>
    <col min="2" max="2" width="8.88888888888889" style="1"/>
    <col min="3" max="3" width="10.6666666666667" style="1" customWidth="1"/>
    <col min="4" max="4" width="12.8888888888889" style="1" customWidth="1"/>
    <col min="5" max="5" width="10.7777777777778" style="1" customWidth="1"/>
    <col min="6" max="6" width="16.5555555555556" style="1" customWidth="1"/>
    <col min="7" max="7" width="15.5555555555556" style="1" customWidth="1"/>
    <col min="8" max="8" width="11.7777777777778" style="1"/>
    <col min="9" max="9" width="21" style="1" customWidth="1"/>
    <col min="10" max="10" width="12.4444444444444" style="1" customWidth="1"/>
    <col min="11" max="16384" width="8.88888888888889" style="1"/>
  </cols>
  <sheetData>
    <row r="1" spans="1:10">
      <c r="A1" s="2" t="s">
        <v>2</v>
      </c>
      <c r="B1" s="3" t="s">
        <v>99</v>
      </c>
      <c r="C1" s="3" t="s">
        <v>201</v>
      </c>
      <c r="D1" s="3" t="s">
        <v>202</v>
      </c>
      <c r="E1" s="3" t="s">
        <v>203</v>
      </c>
      <c r="F1" s="3" t="s">
        <v>204</v>
      </c>
      <c r="G1" s="3" t="s">
        <v>205</v>
      </c>
      <c r="H1" s="1" t="s">
        <v>206</v>
      </c>
      <c r="I1" s="1" t="s">
        <v>207</v>
      </c>
      <c r="J1" s="1" t="s">
        <v>0</v>
      </c>
    </row>
    <row r="2" spans="1:10">
      <c r="A2" s="4" t="s">
        <v>208</v>
      </c>
      <c r="B2" s="4" t="s">
        <v>209</v>
      </c>
      <c r="C2" s="4" t="s">
        <v>210</v>
      </c>
      <c r="D2" s="4">
        <v>0.0068</v>
      </c>
      <c r="E2" s="4" t="s">
        <v>211</v>
      </c>
      <c r="F2" s="4" t="s">
        <v>212</v>
      </c>
      <c r="G2" s="4" t="s">
        <v>213</v>
      </c>
      <c r="H2" s="1">
        <f>VALUE(SUBSTITUTE(C2,"$",""))</f>
        <v>112396.23</v>
      </c>
      <c r="I2" s="1">
        <f>IFERROR(VALUE(SUBSTITUTE(SUBSTITUTE(F2,"$",""),",","")),0)</f>
        <v>61196410006</v>
      </c>
      <c r="J2" s="1" t="str">
        <f>IF(H2&lt;=50,"$0-$50","Above $50")</f>
        <v>Above $50</v>
      </c>
    </row>
    <row r="3" spans="1:10">
      <c r="A3" s="4" t="s">
        <v>214</v>
      </c>
      <c r="B3" s="4" t="s">
        <v>215</v>
      </c>
      <c r="C3" s="4" t="s">
        <v>216</v>
      </c>
      <c r="D3" s="4">
        <v>0.0043</v>
      </c>
      <c r="E3" s="4" t="s">
        <v>217</v>
      </c>
      <c r="F3" s="4" t="s">
        <v>218</v>
      </c>
      <c r="G3" s="4" t="s">
        <v>219</v>
      </c>
      <c r="H3" s="1">
        <f t="shared" ref="H3:H34" si="0">VALUE(SUBSTITUTE(C3,"$",""))</f>
        <v>4631.69</v>
      </c>
      <c r="I3" s="1">
        <f t="shared" ref="I3:I34" si="1">IFERROR(VALUE(SUBSTITUTE(SUBSTITUTE(F3,"$",""),",","")),0)</f>
        <v>43714609700</v>
      </c>
      <c r="J3" s="1" t="str">
        <f t="shared" ref="J3:J34" si="2">IF(H3&lt;=50,"$0-$50","Above $50")</f>
        <v>Above $50</v>
      </c>
    </row>
    <row r="4" spans="1:10">
      <c r="A4" s="4" t="s">
        <v>6</v>
      </c>
      <c r="B4" s="4" t="s">
        <v>6</v>
      </c>
      <c r="C4" s="4" t="s">
        <v>220</v>
      </c>
      <c r="D4" s="4">
        <v>0.0045</v>
      </c>
      <c r="E4" s="4" t="s">
        <v>221</v>
      </c>
      <c r="F4" s="4" t="s">
        <v>222</v>
      </c>
      <c r="G4" s="4" t="s">
        <v>223</v>
      </c>
      <c r="H4" s="1">
        <f t="shared" si="0"/>
        <v>3.02</v>
      </c>
      <c r="I4" s="1">
        <f t="shared" si="1"/>
        <v>6447508710</v>
      </c>
      <c r="J4" s="1" t="str">
        <f t="shared" si="2"/>
        <v>$0-$50</v>
      </c>
    </row>
    <row r="5" spans="1:10">
      <c r="A5" s="4" t="s">
        <v>4</v>
      </c>
      <c r="B5" s="4" t="s">
        <v>224</v>
      </c>
      <c r="C5" s="4" t="s">
        <v>225</v>
      </c>
      <c r="D5" s="4">
        <v>0.0007</v>
      </c>
      <c r="E5" s="4" t="s">
        <v>226</v>
      </c>
      <c r="F5" s="4" t="s">
        <v>227</v>
      </c>
      <c r="G5" s="4" t="s">
        <v>228</v>
      </c>
      <c r="H5" s="1">
        <f t="shared" si="0"/>
        <v>1</v>
      </c>
      <c r="I5" s="1">
        <f t="shared" si="1"/>
        <v>117252093277</v>
      </c>
      <c r="J5" s="1" t="str">
        <f t="shared" si="2"/>
        <v>$0-$50</v>
      </c>
    </row>
    <row r="6" spans="1:10">
      <c r="A6" s="4" t="s">
        <v>229</v>
      </c>
      <c r="B6" s="4" t="s">
        <v>229</v>
      </c>
      <c r="C6" s="4" t="s">
        <v>230</v>
      </c>
      <c r="D6" s="4">
        <v>0.0024</v>
      </c>
      <c r="E6" s="4" t="s">
        <v>231</v>
      </c>
      <c r="F6" s="4" t="s">
        <v>232</v>
      </c>
      <c r="G6" s="4" t="s">
        <v>233</v>
      </c>
      <c r="H6" s="1">
        <f t="shared" si="0"/>
        <v>864.91</v>
      </c>
      <c r="I6" s="1">
        <f t="shared" si="1"/>
        <v>2278674127</v>
      </c>
      <c r="J6" s="1" t="str">
        <f t="shared" si="2"/>
        <v>Above $50</v>
      </c>
    </row>
    <row r="7" spans="1:10">
      <c r="A7" s="4" t="s">
        <v>234</v>
      </c>
      <c r="B7" s="4" t="s">
        <v>235</v>
      </c>
      <c r="C7" s="4" t="s">
        <v>236</v>
      </c>
      <c r="D7" s="4">
        <v>0.0078</v>
      </c>
      <c r="E7" s="4" t="s">
        <v>237</v>
      </c>
      <c r="F7" s="4" t="s">
        <v>238</v>
      </c>
      <c r="G7" s="4" t="s">
        <v>239</v>
      </c>
      <c r="H7" s="1">
        <f t="shared" si="0"/>
        <v>208.97</v>
      </c>
      <c r="I7" s="1">
        <f t="shared" si="1"/>
        <v>10127054144</v>
      </c>
      <c r="J7" s="1" t="str">
        <f t="shared" si="2"/>
        <v>Above $50</v>
      </c>
    </row>
    <row r="8" spans="1:10">
      <c r="A8" s="4" t="s">
        <v>5</v>
      </c>
      <c r="B8" s="4" t="s">
        <v>5</v>
      </c>
      <c r="C8" s="4" t="s">
        <v>240</v>
      </c>
      <c r="D8" s="4">
        <v>0.0006</v>
      </c>
      <c r="E8" s="4" t="s">
        <v>241</v>
      </c>
      <c r="F8" s="4" t="s">
        <v>242</v>
      </c>
      <c r="G8" s="4" t="s">
        <v>243</v>
      </c>
      <c r="H8" s="1">
        <f t="shared" si="0"/>
        <v>0.9997</v>
      </c>
      <c r="I8" s="1">
        <f t="shared" si="1"/>
        <v>17027792821</v>
      </c>
      <c r="J8" s="1" t="str">
        <f t="shared" si="2"/>
        <v>$0-$50</v>
      </c>
    </row>
    <row r="9" spans="1:10">
      <c r="A9" s="4" t="s">
        <v>7</v>
      </c>
      <c r="B9" s="4" t="s">
        <v>244</v>
      </c>
      <c r="C9" s="4" t="s">
        <v>245</v>
      </c>
      <c r="D9" s="4">
        <v>0.0067</v>
      </c>
      <c r="E9" s="4" t="s">
        <v>246</v>
      </c>
      <c r="F9" s="4" t="s">
        <v>247</v>
      </c>
      <c r="G9" s="4" t="s">
        <v>248</v>
      </c>
      <c r="H9" s="1">
        <f t="shared" si="0"/>
        <v>0.2217</v>
      </c>
      <c r="I9" s="1">
        <f t="shared" si="1"/>
        <v>1961967012</v>
      </c>
      <c r="J9" s="1" t="str">
        <f t="shared" si="2"/>
        <v>$0-$50</v>
      </c>
    </row>
    <row r="10" spans="1:10">
      <c r="A10" s="4" t="s">
        <v>9</v>
      </c>
      <c r="B10" s="4" t="s">
        <v>249</v>
      </c>
      <c r="C10" s="4" t="s">
        <v>250</v>
      </c>
      <c r="D10" s="4">
        <v>0.001</v>
      </c>
      <c r="E10" s="4" t="s">
        <v>251</v>
      </c>
      <c r="F10" s="4" t="s">
        <v>252</v>
      </c>
      <c r="G10" s="4" t="s">
        <v>253</v>
      </c>
      <c r="H10" s="1">
        <f t="shared" si="0"/>
        <v>0.3502</v>
      </c>
      <c r="I10" s="1">
        <f t="shared" si="1"/>
        <v>973139421</v>
      </c>
      <c r="J10" s="1" t="str">
        <f t="shared" si="2"/>
        <v>$0-$50</v>
      </c>
    </row>
    <row r="11" spans="1:10">
      <c r="A11" s="4" t="s">
        <v>8</v>
      </c>
      <c r="B11" s="4" t="s">
        <v>254</v>
      </c>
      <c r="C11" s="4" t="s">
        <v>255</v>
      </c>
      <c r="D11" s="4">
        <v>0.0032</v>
      </c>
      <c r="E11" s="4" t="s">
        <v>256</v>
      </c>
      <c r="F11" s="4" t="s">
        <v>257</v>
      </c>
      <c r="G11" s="4" t="s">
        <v>258</v>
      </c>
      <c r="H11" s="1">
        <f t="shared" si="0"/>
        <v>0.8693</v>
      </c>
      <c r="I11" s="1">
        <f t="shared" si="1"/>
        <v>1153461846</v>
      </c>
      <c r="J11" s="1" t="str">
        <f t="shared" si="2"/>
        <v>$0-$50</v>
      </c>
    </row>
    <row r="12" spans="1:10">
      <c r="A12" s="4" t="s">
        <v>12</v>
      </c>
      <c r="B12" s="4" t="s">
        <v>259</v>
      </c>
      <c r="C12" s="4" t="s">
        <v>260</v>
      </c>
      <c r="D12" s="4">
        <v>0.0001</v>
      </c>
      <c r="E12" s="4" t="s">
        <v>261</v>
      </c>
      <c r="F12" s="4" t="s">
        <v>262</v>
      </c>
      <c r="G12" s="4" t="s">
        <v>263</v>
      </c>
      <c r="H12" s="1">
        <f t="shared" si="0"/>
        <v>0.9995</v>
      </c>
      <c r="I12" s="1">
        <f t="shared" si="1"/>
        <v>64711407</v>
      </c>
      <c r="J12" s="1" t="str">
        <f t="shared" si="2"/>
        <v>$0-$50</v>
      </c>
    </row>
    <row r="13" spans="1:10">
      <c r="A13" s="4" t="s">
        <v>10</v>
      </c>
      <c r="B13" s="4" t="s">
        <v>264</v>
      </c>
      <c r="C13" s="4" t="s">
        <v>265</v>
      </c>
      <c r="D13" s="4">
        <v>0.008</v>
      </c>
      <c r="E13" s="4" t="s">
        <v>266</v>
      </c>
      <c r="F13" s="4" t="s">
        <v>267</v>
      </c>
      <c r="G13" s="4" t="s">
        <v>268</v>
      </c>
      <c r="H13" s="1">
        <f t="shared" si="0"/>
        <v>42.45</v>
      </c>
      <c r="I13" s="1">
        <f t="shared" si="1"/>
        <v>71132312</v>
      </c>
      <c r="J13" s="1" t="str">
        <f t="shared" si="2"/>
        <v>$0-$50</v>
      </c>
    </row>
    <row r="14" spans="1:10">
      <c r="A14" s="4" t="s">
        <v>20</v>
      </c>
      <c r="B14" s="4" t="s">
        <v>20</v>
      </c>
      <c r="C14" s="4" t="s">
        <v>269</v>
      </c>
      <c r="D14" s="4">
        <v>0.003</v>
      </c>
      <c r="E14" s="4" t="s">
        <v>270</v>
      </c>
      <c r="F14" s="4" t="s">
        <v>271</v>
      </c>
      <c r="G14" s="4" t="s">
        <v>272</v>
      </c>
      <c r="H14" s="1">
        <f t="shared" si="0"/>
        <v>0.009181</v>
      </c>
      <c r="I14" s="1">
        <f t="shared" si="1"/>
        <v>29038108</v>
      </c>
      <c r="J14" s="1" t="str">
        <f t="shared" si="2"/>
        <v>$0-$50</v>
      </c>
    </row>
    <row r="15" spans="1:10">
      <c r="A15" s="4" t="s">
        <v>24</v>
      </c>
      <c r="B15" s="4" t="s">
        <v>273</v>
      </c>
      <c r="C15" s="4" t="s">
        <v>274</v>
      </c>
      <c r="D15" s="4">
        <v>0.0052</v>
      </c>
      <c r="E15" s="4" t="s">
        <v>275</v>
      </c>
      <c r="F15" s="4" t="s">
        <v>276</v>
      </c>
      <c r="G15" s="4" t="s">
        <v>277</v>
      </c>
      <c r="H15" s="1">
        <f t="shared" si="0"/>
        <v>0.1171</v>
      </c>
      <c r="I15" s="1">
        <f t="shared" si="1"/>
        <v>24411942</v>
      </c>
      <c r="J15" s="1" t="str">
        <f t="shared" si="2"/>
        <v>$0-$50</v>
      </c>
    </row>
    <row r="16" spans="1:10">
      <c r="A16" s="4" t="s">
        <v>19</v>
      </c>
      <c r="B16" s="4" t="s">
        <v>278</v>
      </c>
      <c r="C16" s="4" t="s">
        <v>279</v>
      </c>
      <c r="D16" s="4">
        <v>0.0006</v>
      </c>
      <c r="E16" s="4" t="s">
        <v>280</v>
      </c>
      <c r="F16" s="4" t="s">
        <v>281</v>
      </c>
      <c r="G16" s="4" t="s">
        <v>282</v>
      </c>
      <c r="H16" s="1">
        <f t="shared" si="0"/>
        <v>0.066662</v>
      </c>
      <c r="I16" s="1">
        <f t="shared" si="1"/>
        <v>29706225</v>
      </c>
      <c r="J16" s="1" t="str">
        <f t="shared" si="2"/>
        <v>$0-$50</v>
      </c>
    </row>
    <row r="17" spans="1:10">
      <c r="A17" s="4" t="s">
        <v>26</v>
      </c>
      <c r="B17" s="4" t="s">
        <v>283</v>
      </c>
      <c r="C17" s="4" t="s">
        <v>284</v>
      </c>
      <c r="D17" s="4">
        <v>0.0015</v>
      </c>
      <c r="E17" s="4" t="s">
        <v>285</v>
      </c>
      <c r="F17" s="4" t="s">
        <v>286</v>
      </c>
      <c r="G17" s="4" t="s">
        <v>287</v>
      </c>
      <c r="H17" s="1">
        <f t="shared" si="0"/>
        <v>0.3909</v>
      </c>
      <c r="I17" s="1">
        <f t="shared" si="1"/>
        <v>21684159</v>
      </c>
      <c r="J17" s="1" t="str">
        <f t="shared" si="2"/>
        <v>$0-$50</v>
      </c>
    </row>
    <row r="18" spans="1:10">
      <c r="A18" s="4" t="s">
        <v>56</v>
      </c>
      <c r="B18" s="4" t="s">
        <v>288</v>
      </c>
      <c r="C18" s="4" t="s">
        <v>289</v>
      </c>
      <c r="D18" s="4">
        <v>0.003</v>
      </c>
      <c r="E18" s="4" t="s">
        <v>290</v>
      </c>
      <c r="F18" s="4" t="s">
        <v>291</v>
      </c>
      <c r="G18" s="4" t="s">
        <v>292</v>
      </c>
      <c r="H18" s="1">
        <f t="shared" si="0"/>
        <v>7.42</v>
      </c>
      <c r="I18" s="1">
        <f t="shared" si="1"/>
        <v>7491105</v>
      </c>
      <c r="J18" s="1" t="str">
        <f t="shared" si="2"/>
        <v>$0-$50</v>
      </c>
    </row>
    <row r="19" spans="1:10">
      <c r="A19" s="4" t="s">
        <v>25</v>
      </c>
      <c r="B19" s="4" t="s">
        <v>293</v>
      </c>
      <c r="C19" s="4" t="s">
        <v>294</v>
      </c>
      <c r="D19" s="4">
        <v>0.0011</v>
      </c>
      <c r="E19" s="4" t="s">
        <v>295</v>
      </c>
      <c r="F19" s="4" t="s">
        <v>296</v>
      </c>
      <c r="G19" s="4" t="s">
        <v>297</v>
      </c>
      <c r="H19" s="1">
        <f t="shared" si="0"/>
        <v>0.5774</v>
      </c>
      <c r="I19" s="1">
        <f t="shared" si="1"/>
        <v>23722335</v>
      </c>
      <c r="J19" s="1" t="str">
        <f t="shared" si="2"/>
        <v>$0-$50</v>
      </c>
    </row>
    <row r="20" spans="1:10">
      <c r="A20" s="4" t="s">
        <v>27</v>
      </c>
      <c r="B20" s="4" t="s">
        <v>298</v>
      </c>
      <c r="C20" s="4" t="s">
        <v>299</v>
      </c>
      <c r="D20" s="4">
        <v>0.0033</v>
      </c>
      <c r="E20" s="4" t="s">
        <v>300</v>
      </c>
      <c r="F20" s="4" t="s">
        <v>301</v>
      </c>
      <c r="G20" s="4" t="s">
        <v>302</v>
      </c>
      <c r="H20" s="1">
        <f t="shared" si="0"/>
        <v>0.4049</v>
      </c>
      <c r="I20" s="1">
        <f t="shared" si="1"/>
        <v>19083906</v>
      </c>
      <c r="J20" s="1" t="str">
        <f t="shared" si="2"/>
        <v>$0-$50</v>
      </c>
    </row>
    <row r="21" spans="1:10">
      <c r="A21" s="4" t="s">
        <v>22</v>
      </c>
      <c r="B21" s="4" t="s">
        <v>303</v>
      </c>
      <c r="C21" s="4" t="s">
        <v>304</v>
      </c>
      <c r="D21" s="4">
        <v>0.0039</v>
      </c>
      <c r="E21" s="4" t="s">
        <v>305</v>
      </c>
      <c r="F21" s="4" t="s">
        <v>306</v>
      </c>
      <c r="G21" s="4" t="s">
        <v>307</v>
      </c>
      <c r="H21" s="1">
        <f t="shared" si="0"/>
        <v>0.2882</v>
      </c>
      <c r="I21" s="1">
        <f t="shared" si="1"/>
        <v>27296450</v>
      </c>
      <c r="J21" s="1" t="str">
        <f t="shared" si="2"/>
        <v>$0-$50</v>
      </c>
    </row>
    <row r="22" spans="1:10">
      <c r="A22" s="4" t="s">
        <v>14</v>
      </c>
      <c r="B22" s="4" t="s">
        <v>308</v>
      </c>
      <c r="C22" s="4" t="s">
        <v>309</v>
      </c>
      <c r="D22" s="4">
        <v>0.0004</v>
      </c>
      <c r="E22" s="4" t="s">
        <v>310</v>
      </c>
      <c r="F22" s="4" t="s">
        <v>311</v>
      </c>
      <c r="G22" s="4" t="s">
        <v>312</v>
      </c>
      <c r="H22" s="1">
        <f t="shared" si="0"/>
        <v>4.54</v>
      </c>
      <c r="I22" s="1">
        <f t="shared" si="1"/>
        <v>64466358</v>
      </c>
      <c r="J22" s="1" t="str">
        <f t="shared" si="2"/>
        <v>$0-$50</v>
      </c>
    </row>
    <row r="23" spans="1:10">
      <c r="A23" s="4" t="s">
        <v>23</v>
      </c>
      <c r="B23" s="4" t="s">
        <v>313</v>
      </c>
      <c r="C23" s="4" t="s">
        <v>314</v>
      </c>
      <c r="D23" s="4">
        <v>0.0047</v>
      </c>
      <c r="E23" s="4" t="s">
        <v>315</v>
      </c>
      <c r="F23" s="4" t="s">
        <v>316</v>
      </c>
      <c r="G23" s="4" t="s">
        <v>317</v>
      </c>
      <c r="H23" s="1">
        <f t="shared" si="0"/>
        <v>5.48</v>
      </c>
      <c r="I23" s="1">
        <f t="shared" si="1"/>
        <v>26985300</v>
      </c>
      <c r="J23" s="1" t="str">
        <f t="shared" si="2"/>
        <v>$0-$50</v>
      </c>
    </row>
    <row r="24" spans="1:10">
      <c r="A24" s="4" t="s">
        <v>18</v>
      </c>
      <c r="B24" s="4" t="s">
        <v>318</v>
      </c>
      <c r="C24" s="4" t="s">
        <v>225</v>
      </c>
      <c r="D24" s="4">
        <v>0.0002</v>
      </c>
      <c r="E24" s="4" t="s">
        <v>319</v>
      </c>
      <c r="F24" s="4" t="s">
        <v>320</v>
      </c>
      <c r="G24" s="4" t="s">
        <v>321</v>
      </c>
      <c r="H24" s="1">
        <f t="shared" si="0"/>
        <v>1</v>
      </c>
      <c r="I24" s="1">
        <f t="shared" si="1"/>
        <v>30789467</v>
      </c>
      <c r="J24" s="1" t="str">
        <f t="shared" si="2"/>
        <v>$0-$50</v>
      </c>
    </row>
    <row r="25" spans="1:10">
      <c r="A25" s="4" t="s">
        <v>52</v>
      </c>
      <c r="B25" s="4" t="s">
        <v>322</v>
      </c>
      <c r="C25" s="4" t="s">
        <v>323</v>
      </c>
      <c r="D25" s="4">
        <v>0.0022</v>
      </c>
      <c r="E25" s="4" t="s">
        <v>324</v>
      </c>
      <c r="F25" s="4" t="s">
        <v>325</v>
      </c>
      <c r="G25" s="4" t="s">
        <v>326</v>
      </c>
      <c r="H25" s="1">
        <f t="shared" si="0"/>
        <v>0.02395</v>
      </c>
      <c r="I25" s="1">
        <f t="shared" si="1"/>
        <v>8289454</v>
      </c>
      <c r="J25" s="1" t="str">
        <f t="shared" si="2"/>
        <v>$0-$50</v>
      </c>
    </row>
    <row r="26" spans="1:10">
      <c r="A26" s="4" t="s">
        <v>89</v>
      </c>
      <c r="B26" s="4" t="s">
        <v>327</v>
      </c>
      <c r="C26" s="4" t="s">
        <v>328</v>
      </c>
      <c r="D26" s="4">
        <v>0.0011</v>
      </c>
      <c r="E26" s="4" t="s">
        <v>329</v>
      </c>
      <c r="F26" s="4" t="s">
        <v>330</v>
      </c>
      <c r="G26" s="4" t="s">
        <v>331</v>
      </c>
      <c r="H26" s="1">
        <f t="shared" si="0"/>
        <v>1.1</v>
      </c>
      <c r="I26" s="1">
        <f t="shared" si="1"/>
        <v>1338625</v>
      </c>
      <c r="J26" s="1" t="str">
        <f t="shared" si="2"/>
        <v>$0-$50</v>
      </c>
    </row>
    <row r="27" spans="1:10">
      <c r="A27" s="4" t="s">
        <v>70</v>
      </c>
      <c r="B27" s="4" t="s">
        <v>332</v>
      </c>
      <c r="C27" s="4" t="s">
        <v>333</v>
      </c>
      <c r="D27" s="4">
        <v>0</v>
      </c>
      <c r="E27" s="4" t="s">
        <v>334</v>
      </c>
      <c r="F27" s="4" t="s">
        <v>335</v>
      </c>
      <c r="G27" s="4" t="s">
        <v>336</v>
      </c>
      <c r="H27" s="1">
        <f t="shared" si="0"/>
        <v>0.9983</v>
      </c>
      <c r="I27" s="1">
        <f t="shared" si="1"/>
        <v>4463129</v>
      </c>
      <c r="J27" s="1" t="str">
        <f t="shared" si="2"/>
        <v>$0-$50</v>
      </c>
    </row>
    <row r="28" spans="1:10">
      <c r="A28" s="4" t="s">
        <v>88</v>
      </c>
      <c r="B28" s="4" t="s">
        <v>337</v>
      </c>
      <c r="C28" s="4" t="s">
        <v>338</v>
      </c>
      <c r="D28" s="4">
        <v>0.0059</v>
      </c>
      <c r="E28" s="4" t="s">
        <v>339</v>
      </c>
      <c r="F28" s="4" t="s">
        <v>340</v>
      </c>
      <c r="G28" s="4" t="s">
        <v>341</v>
      </c>
      <c r="H28" s="1">
        <f t="shared" si="0"/>
        <v>0.1745</v>
      </c>
      <c r="I28" s="1">
        <f t="shared" si="1"/>
        <v>1377265</v>
      </c>
      <c r="J28" s="1" t="str">
        <f t="shared" si="2"/>
        <v>$0-$50</v>
      </c>
    </row>
    <row r="29" spans="1:10">
      <c r="A29" s="4" t="s">
        <v>71</v>
      </c>
      <c r="B29" s="4" t="s">
        <v>342</v>
      </c>
      <c r="C29" s="4" t="s">
        <v>343</v>
      </c>
      <c r="D29" s="4">
        <v>0.0023</v>
      </c>
      <c r="E29" s="4" t="s">
        <v>344</v>
      </c>
      <c r="F29" s="4" t="s">
        <v>345</v>
      </c>
      <c r="G29" s="4" t="s">
        <v>346</v>
      </c>
      <c r="H29" s="1">
        <f t="shared" si="0"/>
        <v>0.07629</v>
      </c>
      <c r="I29" s="1">
        <f t="shared" si="1"/>
        <v>4396792</v>
      </c>
      <c r="J29" s="1" t="str">
        <f t="shared" si="2"/>
        <v>$0-$50</v>
      </c>
    </row>
    <row r="30" spans="1:10">
      <c r="A30" s="4" t="s">
        <v>62</v>
      </c>
      <c r="B30" s="4" t="s">
        <v>347</v>
      </c>
      <c r="C30" s="4" t="s">
        <v>348</v>
      </c>
      <c r="D30" s="4">
        <v>0.0003</v>
      </c>
      <c r="E30" s="4" t="s">
        <v>349</v>
      </c>
      <c r="F30" s="4" t="s">
        <v>350</v>
      </c>
      <c r="G30" s="4" t="s">
        <v>351</v>
      </c>
      <c r="H30" s="1">
        <f t="shared" si="0"/>
        <v>0.9998</v>
      </c>
      <c r="I30" s="1">
        <f t="shared" si="1"/>
        <v>5715956</v>
      </c>
      <c r="J30" s="1" t="str">
        <f t="shared" si="2"/>
        <v>$0-$50</v>
      </c>
    </row>
    <row r="31" spans="1:10">
      <c r="A31" s="4" t="s">
        <v>119</v>
      </c>
      <c r="B31" s="4" t="s">
        <v>352</v>
      </c>
      <c r="C31" s="4" t="s">
        <v>353</v>
      </c>
      <c r="D31" s="4">
        <v>0.0016</v>
      </c>
      <c r="E31" s="4" t="s">
        <v>354</v>
      </c>
      <c r="F31" s="4" t="s">
        <v>355</v>
      </c>
      <c r="G31" s="4" t="s">
        <v>356</v>
      </c>
      <c r="H31" s="1">
        <f t="shared" si="0"/>
        <v>1.94</v>
      </c>
      <c r="I31" s="1">
        <f t="shared" si="1"/>
        <v>325843</v>
      </c>
      <c r="J31" s="1" t="str">
        <f t="shared" si="2"/>
        <v>$0-$50</v>
      </c>
    </row>
    <row r="32" spans="1:10">
      <c r="A32" s="4" t="s">
        <v>59</v>
      </c>
      <c r="B32" s="4" t="s">
        <v>59</v>
      </c>
      <c r="C32" s="4" t="s">
        <v>357</v>
      </c>
      <c r="D32" s="4">
        <v>0.0004</v>
      </c>
      <c r="E32" s="4" t="s">
        <v>358</v>
      </c>
      <c r="F32" s="4" t="s">
        <v>359</v>
      </c>
      <c r="G32" s="4" t="s">
        <v>360</v>
      </c>
      <c r="H32" s="1">
        <f t="shared" si="0"/>
        <v>0.07137</v>
      </c>
      <c r="I32" s="1">
        <f t="shared" si="1"/>
        <v>6721454</v>
      </c>
      <c r="J32" s="1" t="str">
        <f t="shared" si="2"/>
        <v>$0-$50</v>
      </c>
    </row>
    <row r="33" spans="1:10">
      <c r="A33" s="4" t="s">
        <v>115</v>
      </c>
      <c r="B33" s="4" t="s">
        <v>361</v>
      </c>
      <c r="C33" s="4" t="s">
        <v>260</v>
      </c>
      <c r="D33" s="4">
        <v>0</v>
      </c>
      <c r="E33" s="4" t="s">
        <v>362</v>
      </c>
      <c r="F33" s="4" t="s">
        <v>363</v>
      </c>
      <c r="G33" s="4" t="s">
        <v>364</v>
      </c>
      <c r="H33" s="1">
        <f t="shared" si="0"/>
        <v>0.9995</v>
      </c>
      <c r="I33" s="1">
        <f t="shared" si="1"/>
        <v>343471</v>
      </c>
      <c r="J33" s="1" t="str">
        <f t="shared" si="2"/>
        <v>$0-$50</v>
      </c>
    </row>
    <row r="34" spans="1:10">
      <c r="A34" s="4" t="s">
        <v>47</v>
      </c>
      <c r="B34" s="4" t="s">
        <v>365</v>
      </c>
      <c r="C34" s="4" t="s">
        <v>366</v>
      </c>
      <c r="D34" s="4">
        <v>0.0002</v>
      </c>
      <c r="E34" s="4" t="s">
        <v>367</v>
      </c>
      <c r="F34" s="4" t="s">
        <v>368</v>
      </c>
      <c r="G34" s="4" t="s">
        <v>369</v>
      </c>
      <c r="H34" s="1">
        <f t="shared" si="0"/>
        <v>0.9996</v>
      </c>
      <c r="I34" s="1">
        <f t="shared" si="1"/>
        <v>1092882</v>
      </c>
      <c r="J34" s="1" t="str">
        <f t="shared" si="2"/>
        <v>$0-$50</v>
      </c>
    </row>
    <row r="35" spans="1:10">
      <c r="A35" s="4" t="s">
        <v>79</v>
      </c>
      <c r="B35" s="4" t="s">
        <v>370</v>
      </c>
      <c r="C35" s="4" t="s">
        <v>371</v>
      </c>
      <c r="D35" s="4">
        <v>0.0043</v>
      </c>
      <c r="E35" s="4" t="s">
        <v>372</v>
      </c>
      <c r="F35" s="4" t="s">
        <v>373</v>
      </c>
      <c r="G35" s="4" t="s">
        <v>374</v>
      </c>
      <c r="H35" s="1">
        <f t="shared" ref="H35:H66" si="3">VALUE(SUBSTITUTE(C35,"$",""))</f>
        <v>0.1332</v>
      </c>
      <c r="I35" s="1">
        <f t="shared" ref="I35:I66" si="4">IFERROR(VALUE(SUBSTITUTE(SUBSTITUTE(F35,"$",""),",","")),0)</f>
        <v>2531201</v>
      </c>
      <c r="J35" s="1" t="str">
        <f t="shared" ref="J35:J66" si="5">IF(H35&lt;=50,"$0-$50","Above $50")</f>
        <v>$0-$50</v>
      </c>
    </row>
    <row r="36" spans="1:10">
      <c r="A36" s="4" t="s">
        <v>54</v>
      </c>
      <c r="B36" s="4" t="s">
        <v>375</v>
      </c>
      <c r="C36" s="4" t="s">
        <v>376</v>
      </c>
      <c r="D36" s="4">
        <v>0.0131</v>
      </c>
      <c r="E36" s="4" t="s">
        <v>377</v>
      </c>
      <c r="F36" s="4" t="s">
        <v>378</v>
      </c>
      <c r="G36" s="4" t="s">
        <v>379</v>
      </c>
      <c r="H36" s="1">
        <f t="shared" si="3"/>
        <v>0.2781</v>
      </c>
      <c r="I36" s="1">
        <f t="shared" si="4"/>
        <v>7930906</v>
      </c>
      <c r="J36" s="1" t="str">
        <f t="shared" si="5"/>
        <v>$0-$50</v>
      </c>
    </row>
    <row r="37" spans="1:10">
      <c r="A37" s="4" t="s">
        <v>50</v>
      </c>
      <c r="B37" s="4" t="s">
        <v>50</v>
      </c>
      <c r="C37" s="4" t="s">
        <v>240</v>
      </c>
      <c r="D37" s="4">
        <v>0.0001</v>
      </c>
      <c r="E37" s="4" t="s">
        <v>380</v>
      </c>
      <c r="F37" s="4" t="s">
        <v>381</v>
      </c>
      <c r="G37" s="4" t="s">
        <v>382</v>
      </c>
      <c r="H37" s="1">
        <f t="shared" si="3"/>
        <v>0.9997</v>
      </c>
      <c r="I37" s="1">
        <f t="shared" si="4"/>
        <v>8432086</v>
      </c>
      <c r="J37" s="1" t="str">
        <f t="shared" si="5"/>
        <v>$0-$50</v>
      </c>
    </row>
    <row r="38" spans="1:10">
      <c r="A38" s="4" t="s">
        <v>35</v>
      </c>
      <c r="B38" s="4" t="s">
        <v>383</v>
      </c>
      <c r="C38" s="4" t="s">
        <v>384</v>
      </c>
      <c r="D38" s="4">
        <v>0.005</v>
      </c>
      <c r="E38" s="4" t="s">
        <v>385</v>
      </c>
      <c r="F38" s="4" t="s">
        <v>386</v>
      </c>
      <c r="G38" s="4" t="s">
        <v>387</v>
      </c>
      <c r="H38" s="1">
        <f t="shared" si="3"/>
        <v>0.04956</v>
      </c>
      <c r="I38" s="1">
        <f t="shared" si="4"/>
        <v>10778520</v>
      </c>
      <c r="J38" s="1" t="str">
        <f t="shared" si="5"/>
        <v>$0-$50</v>
      </c>
    </row>
    <row r="39" spans="1:10">
      <c r="A39" s="4" t="s">
        <v>36</v>
      </c>
      <c r="B39" s="4" t="s">
        <v>388</v>
      </c>
      <c r="C39" s="4" t="s">
        <v>389</v>
      </c>
      <c r="D39" s="4">
        <v>0.0005</v>
      </c>
      <c r="E39" s="4" t="s">
        <v>390</v>
      </c>
      <c r="F39" s="4" t="s">
        <v>391</v>
      </c>
      <c r="G39" s="4" t="s">
        <v>392</v>
      </c>
      <c r="H39" s="1">
        <f t="shared" si="3"/>
        <v>0.02674</v>
      </c>
      <c r="I39" s="1">
        <f t="shared" si="4"/>
        <v>10487502</v>
      </c>
      <c r="J39" s="1" t="str">
        <f t="shared" si="5"/>
        <v>$0-$50</v>
      </c>
    </row>
    <row r="40" spans="1:10">
      <c r="A40" s="4" t="s">
        <v>33</v>
      </c>
      <c r="B40" s="4" t="s">
        <v>393</v>
      </c>
      <c r="C40" s="4" t="s">
        <v>394</v>
      </c>
      <c r="D40" s="4">
        <v>0.0043</v>
      </c>
      <c r="E40" s="4" t="s">
        <v>395</v>
      </c>
      <c r="F40" s="4" t="s">
        <v>396</v>
      </c>
      <c r="G40" s="4" t="s">
        <v>397</v>
      </c>
      <c r="H40" s="1">
        <f t="shared" si="3"/>
        <v>0.06809</v>
      </c>
      <c r="I40" s="1">
        <f t="shared" si="4"/>
        <v>11344790</v>
      </c>
      <c r="J40" s="1" t="str">
        <f t="shared" si="5"/>
        <v>$0-$50</v>
      </c>
    </row>
    <row r="41" spans="1:10">
      <c r="A41" s="4" t="s">
        <v>43</v>
      </c>
      <c r="B41" s="4" t="s">
        <v>398</v>
      </c>
      <c r="C41" s="4" t="s">
        <v>399</v>
      </c>
      <c r="D41" s="4">
        <v>0.0019</v>
      </c>
      <c r="E41" s="4" t="s">
        <v>400</v>
      </c>
      <c r="F41" s="4" t="s">
        <v>401</v>
      </c>
      <c r="G41" s="4" t="s">
        <v>402</v>
      </c>
      <c r="H41" s="1">
        <f t="shared" si="3"/>
        <v>4.24</v>
      </c>
      <c r="I41" s="1">
        <f t="shared" si="4"/>
        <v>9341488</v>
      </c>
      <c r="J41" s="1" t="str">
        <f t="shared" si="5"/>
        <v>$0-$50</v>
      </c>
    </row>
    <row r="42" spans="1:10">
      <c r="A42" s="4" t="s">
        <v>44</v>
      </c>
      <c r="B42" s="4" t="s">
        <v>403</v>
      </c>
      <c r="C42" s="4" t="s">
        <v>404</v>
      </c>
      <c r="D42" s="4">
        <v>0.0132</v>
      </c>
      <c r="E42" s="4" t="s">
        <v>405</v>
      </c>
      <c r="F42" s="4" t="s">
        <v>406</v>
      </c>
      <c r="G42" s="4" t="s">
        <v>407</v>
      </c>
      <c r="H42" s="1">
        <f t="shared" si="3"/>
        <v>0.4326</v>
      </c>
      <c r="I42" s="1">
        <f t="shared" si="4"/>
        <v>9141404</v>
      </c>
      <c r="J42" s="1" t="str">
        <f t="shared" si="5"/>
        <v>$0-$50</v>
      </c>
    </row>
    <row r="43" spans="1:10">
      <c r="A43" s="4" t="s">
        <v>45</v>
      </c>
      <c r="B43" s="4" t="s">
        <v>408</v>
      </c>
      <c r="C43" s="4" t="s">
        <v>409</v>
      </c>
      <c r="D43" s="4">
        <v>0.001</v>
      </c>
      <c r="E43" s="4" t="s">
        <v>410</v>
      </c>
      <c r="F43" s="4" t="s">
        <v>411</v>
      </c>
      <c r="G43" s="4" t="s">
        <v>412</v>
      </c>
      <c r="H43" s="1">
        <f t="shared" si="3"/>
        <v>1.62</v>
      </c>
      <c r="I43" s="1">
        <f t="shared" si="4"/>
        <v>9108166</v>
      </c>
      <c r="J43" s="1" t="str">
        <f t="shared" si="5"/>
        <v>$0-$50</v>
      </c>
    </row>
    <row r="44" spans="1:10">
      <c r="A44" s="4" t="s">
        <v>172</v>
      </c>
      <c r="B44" s="4" t="s">
        <v>413</v>
      </c>
      <c r="C44" s="4" t="s">
        <v>414</v>
      </c>
      <c r="D44" s="4">
        <v>0</v>
      </c>
      <c r="E44" s="4" t="s">
        <v>415</v>
      </c>
      <c r="F44" s="4" t="s">
        <v>416</v>
      </c>
      <c r="G44" s="4" t="s">
        <v>417</v>
      </c>
      <c r="H44" s="1">
        <f t="shared" si="3"/>
        <v>0.6995</v>
      </c>
      <c r="I44" s="1">
        <f t="shared" si="4"/>
        <v>24699</v>
      </c>
      <c r="J44" s="1" t="str">
        <f t="shared" si="5"/>
        <v>$0-$50</v>
      </c>
    </row>
    <row r="45" spans="1:10">
      <c r="A45" s="4" t="s">
        <v>122</v>
      </c>
      <c r="B45" s="4" t="s">
        <v>122</v>
      </c>
      <c r="C45" s="4" t="s">
        <v>418</v>
      </c>
      <c r="D45" s="4">
        <v>0.0013</v>
      </c>
      <c r="E45" s="4" t="s">
        <v>419</v>
      </c>
      <c r="F45" s="4" t="s">
        <v>420</v>
      </c>
      <c r="G45" s="4" t="s">
        <v>421</v>
      </c>
      <c r="H45" s="1">
        <f t="shared" si="3"/>
        <v>2.88</v>
      </c>
      <c r="I45" s="1">
        <f t="shared" si="4"/>
        <v>295825</v>
      </c>
      <c r="J45" s="1" t="str">
        <f t="shared" si="5"/>
        <v>$0-$50</v>
      </c>
    </row>
    <row r="46" spans="1:10">
      <c r="A46" s="4" t="s">
        <v>68</v>
      </c>
      <c r="B46" s="4" t="s">
        <v>422</v>
      </c>
      <c r="C46" s="4" t="s">
        <v>423</v>
      </c>
      <c r="D46" s="4">
        <v>0.0002</v>
      </c>
      <c r="E46" s="4" t="s">
        <v>424</v>
      </c>
      <c r="F46" s="4" t="s">
        <v>425</v>
      </c>
      <c r="G46" s="4" t="s">
        <v>426</v>
      </c>
      <c r="H46" s="1">
        <f t="shared" si="3"/>
        <v>0.08647</v>
      </c>
      <c r="I46" s="1">
        <f t="shared" si="4"/>
        <v>4522686</v>
      </c>
      <c r="J46" s="1" t="str">
        <f t="shared" si="5"/>
        <v>$0-$50</v>
      </c>
    </row>
    <row r="47" spans="1:10">
      <c r="A47" s="4" t="s">
        <v>57</v>
      </c>
      <c r="B47" s="4" t="s">
        <v>427</v>
      </c>
      <c r="C47" s="4" t="s">
        <v>428</v>
      </c>
      <c r="D47" s="4">
        <v>0.0019</v>
      </c>
      <c r="E47" s="4" t="s">
        <v>429</v>
      </c>
      <c r="F47" s="4" t="s">
        <v>430</v>
      </c>
      <c r="G47" s="4" t="s">
        <v>431</v>
      </c>
      <c r="H47" s="1">
        <f t="shared" si="3"/>
        <v>0.06401</v>
      </c>
      <c r="I47" s="1">
        <f t="shared" si="4"/>
        <v>6787116</v>
      </c>
      <c r="J47" s="1" t="str">
        <f t="shared" si="5"/>
        <v>$0-$50</v>
      </c>
    </row>
    <row r="48" spans="1:10">
      <c r="A48" s="4" t="s">
        <v>72</v>
      </c>
      <c r="B48" s="4" t="s">
        <v>432</v>
      </c>
      <c r="C48" s="4" t="s">
        <v>433</v>
      </c>
      <c r="D48" s="4">
        <v>0.0052</v>
      </c>
      <c r="E48" s="4" t="s">
        <v>434</v>
      </c>
      <c r="F48" s="4" t="s">
        <v>435</v>
      </c>
      <c r="G48" s="4" t="s">
        <v>436</v>
      </c>
      <c r="H48" s="1">
        <f t="shared" si="3"/>
        <v>0.4504</v>
      </c>
      <c r="I48" s="1">
        <f t="shared" si="4"/>
        <v>4342188</v>
      </c>
      <c r="J48" s="1" t="str">
        <f t="shared" si="5"/>
        <v>$0-$50</v>
      </c>
    </row>
    <row r="49" spans="1:10">
      <c r="A49" s="4" t="s">
        <v>30</v>
      </c>
      <c r="B49" s="4" t="s">
        <v>437</v>
      </c>
      <c r="C49" s="4" t="s">
        <v>438</v>
      </c>
      <c r="D49" s="4">
        <v>0.0088</v>
      </c>
      <c r="E49" s="4" t="s">
        <v>439</v>
      </c>
      <c r="F49" s="4" t="s">
        <v>440</v>
      </c>
      <c r="G49" s="4" t="s">
        <v>441</v>
      </c>
      <c r="H49" s="1">
        <f t="shared" si="3"/>
        <v>0.08568</v>
      </c>
      <c r="I49" s="1">
        <f t="shared" si="4"/>
        <v>14947172</v>
      </c>
      <c r="J49" s="1" t="str">
        <f t="shared" si="5"/>
        <v>$0-$50</v>
      </c>
    </row>
    <row r="50" spans="1:10">
      <c r="A50" s="4" t="s">
        <v>37</v>
      </c>
      <c r="B50" s="4" t="s">
        <v>442</v>
      </c>
      <c r="C50" s="4" t="s">
        <v>443</v>
      </c>
      <c r="D50" s="4">
        <v>0.0038</v>
      </c>
      <c r="E50" s="4" t="s">
        <v>444</v>
      </c>
      <c r="F50" s="4" t="s">
        <v>445</v>
      </c>
      <c r="G50" s="4" t="s">
        <v>446</v>
      </c>
      <c r="H50" s="1">
        <f t="shared" si="3"/>
        <v>0.08543</v>
      </c>
      <c r="I50" s="1">
        <f t="shared" si="4"/>
        <v>10238715</v>
      </c>
      <c r="J50" s="1" t="str">
        <f t="shared" si="5"/>
        <v>$0-$50</v>
      </c>
    </row>
    <row r="51" spans="1:10">
      <c r="A51" s="4" t="s">
        <v>187</v>
      </c>
      <c r="B51" s="4" t="s">
        <v>447</v>
      </c>
      <c r="C51" s="4" t="s">
        <v>448</v>
      </c>
      <c r="D51" s="4">
        <v>0</v>
      </c>
      <c r="E51" s="4" t="s">
        <v>449</v>
      </c>
      <c r="F51" s="4" t="s">
        <v>450</v>
      </c>
      <c r="G51" s="4" t="s">
        <v>451</v>
      </c>
      <c r="H51" s="1">
        <f t="shared" si="3"/>
        <v>0.8861</v>
      </c>
      <c r="I51" s="1">
        <f t="shared" si="4"/>
        <v>0</v>
      </c>
      <c r="J51" s="1" t="str">
        <f t="shared" si="5"/>
        <v>$0-$50</v>
      </c>
    </row>
    <row r="52" spans="1:10">
      <c r="A52" s="4" t="s">
        <v>31</v>
      </c>
      <c r="B52" s="4" t="s">
        <v>452</v>
      </c>
      <c r="C52" s="4" t="s">
        <v>453</v>
      </c>
      <c r="D52" s="4">
        <v>0.0077</v>
      </c>
      <c r="E52" s="4" t="s">
        <v>454</v>
      </c>
      <c r="F52" s="4" t="s">
        <v>455</v>
      </c>
      <c r="G52" s="4" t="s">
        <v>456</v>
      </c>
      <c r="H52" s="1">
        <f t="shared" si="3"/>
        <v>0.03141</v>
      </c>
      <c r="I52" s="1">
        <f t="shared" si="4"/>
        <v>13787251</v>
      </c>
      <c r="J52" s="1" t="str">
        <f t="shared" si="5"/>
        <v>$0-$50</v>
      </c>
    </row>
    <row r="53" spans="1:10">
      <c r="A53" s="4" t="s">
        <v>90</v>
      </c>
      <c r="B53" s="4" t="s">
        <v>457</v>
      </c>
      <c r="C53" s="4" t="s">
        <v>458</v>
      </c>
      <c r="D53" s="4">
        <v>0.0009</v>
      </c>
      <c r="E53" s="4" t="s">
        <v>459</v>
      </c>
      <c r="F53" s="4" t="s">
        <v>460</v>
      </c>
      <c r="G53" s="4" t="s">
        <v>461</v>
      </c>
      <c r="H53" s="1">
        <f t="shared" si="3"/>
        <v>0.7292</v>
      </c>
      <c r="I53" s="1">
        <f t="shared" si="4"/>
        <v>1249114</v>
      </c>
      <c r="J53" s="1" t="str">
        <f t="shared" si="5"/>
        <v>$0-$50</v>
      </c>
    </row>
    <row r="54" spans="1:10">
      <c r="A54" s="4" t="s">
        <v>66</v>
      </c>
      <c r="B54" s="4" t="s">
        <v>462</v>
      </c>
      <c r="C54" s="4" t="s">
        <v>463</v>
      </c>
      <c r="D54" s="4">
        <v>0.0052</v>
      </c>
      <c r="E54" s="4" t="s">
        <v>464</v>
      </c>
      <c r="F54" s="4" t="s">
        <v>465</v>
      </c>
      <c r="G54" s="4" t="s">
        <v>466</v>
      </c>
      <c r="H54" s="1">
        <f t="shared" si="3"/>
        <v>0.00804</v>
      </c>
      <c r="I54" s="1">
        <f t="shared" si="4"/>
        <v>5327551</v>
      </c>
      <c r="J54" s="1" t="str">
        <f t="shared" si="5"/>
        <v>$0-$50</v>
      </c>
    </row>
    <row r="55" spans="1:10">
      <c r="A55" s="4" t="s">
        <v>46</v>
      </c>
      <c r="B55" s="4" t="s">
        <v>467</v>
      </c>
      <c r="C55" s="4" t="s">
        <v>468</v>
      </c>
      <c r="D55" s="4">
        <v>0.0007</v>
      </c>
      <c r="E55" s="4" t="s">
        <v>469</v>
      </c>
      <c r="F55" s="4" t="s">
        <v>470</v>
      </c>
      <c r="G55" s="4" t="s">
        <v>471</v>
      </c>
      <c r="H55" s="1">
        <f t="shared" si="3"/>
        <v>0.07982</v>
      </c>
      <c r="I55" s="1">
        <f t="shared" si="4"/>
        <v>9047350</v>
      </c>
      <c r="J55" s="1" t="str">
        <f t="shared" si="5"/>
        <v>$0-$50</v>
      </c>
    </row>
    <row r="56" spans="1:10">
      <c r="A56" s="4" t="s">
        <v>81</v>
      </c>
      <c r="B56" s="4" t="s">
        <v>472</v>
      </c>
      <c r="C56" s="4" t="s">
        <v>473</v>
      </c>
      <c r="D56" s="4">
        <v>0.0008</v>
      </c>
      <c r="E56" s="4" t="s">
        <v>474</v>
      </c>
      <c r="F56" s="4" t="s">
        <v>475</v>
      </c>
      <c r="G56" s="4" t="s">
        <v>476</v>
      </c>
      <c r="H56" s="1">
        <f t="shared" si="3"/>
        <v>0.002927</v>
      </c>
      <c r="I56" s="1">
        <f t="shared" si="4"/>
        <v>2058149</v>
      </c>
      <c r="J56" s="1" t="str">
        <f t="shared" si="5"/>
        <v>$0-$50</v>
      </c>
    </row>
    <row r="57" spans="1:10">
      <c r="A57" s="4" t="s">
        <v>153</v>
      </c>
      <c r="B57" s="4" t="s">
        <v>477</v>
      </c>
      <c r="C57" s="4" t="s">
        <v>478</v>
      </c>
      <c r="D57" s="4">
        <v>0.0024</v>
      </c>
      <c r="E57" s="4" t="s">
        <v>479</v>
      </c>
      <c r="F57" s="4" t="s">
        <v>480</v>
      </c>
      <c r="G57" s="4" t="s">
        <v>481</v>
      </c>
      <c r="H57" s="1">
        <f t="shared" si="3"/>
        <v>11.79</v>
      </c>
      <c r="I57" s="1">
        <f t="shared" si="4"/>
        <v>76515</v>
      </c>
      <c r="J57" s="1" t="str">
        <f t="shared" si="5"/>
        <v>$0-$50</v>
      </c>
    </row>
    <row r="58" spans="1:10">
      <c r="A58" s="4" t="s">
        <v>53</v>
      </c>
      <c r="B58" s="4" t="s">
        <v>482</v>
      </c>
      <c r="C58" s="4" t="s">
        <v>483</v>
      </c>
      <c r="D58" s="4">
        <v>0.0021</v>
      </c>
      <c r="E58" s="4" t="s">
        <v>484</v>
      </c>
      <c r="F58" s="4" t="s">
        <v>485</v>
      </c>
      <c r="G58" s="4" t="s">
        <v>486</v>
      </c>
      <c r="H58" s="1">
        <f t="shared" si="3"/>
        <v>0.1816</v>
      </c>
      <c r="I58" s="1">
        <f t="shared" si="4"/>
        <v>8267657</v>
      </c>
      <c r="J58" s="1" t="str">
        <f t="shared" si="5"/>
        <v>$0-$50</v>
      </c>
    </row>
    <row r="59" spans="1:10">
      <c r="A59" s="4" t="s">
        <v>21</v>
      </c>
      <c r="B59" s="4" t="s">
        <v>487</v>
      </c>
      <c r="C59" s="4" t="s">
        <v>488</v>
      </c>
      <c r="D59" s="4">
        <v>0.0021</v>
      </c>
      <c r="E59" s="4" t="s">
        <v>489</v>
      </c>
      <c r="F59" s="4" t="s">
        <v>490</v>
      </c>
      <c r="G59" s="4" t="s">
        <v>491</v>
      </c>
      <c r="H59" s="1">
        <f t="shared" si="3"/>
        <v>10.12</v>
      </c>
      <c r="I59" s="1">
        <f t="shared" si="4"/>
        <v>27805860</v>
      </c>
      <c r="J59" s="1" t="str">
        <f t="shared" si="5"/>
        <v>$0-$50</v>
      </c>
    </row>
    <row r="60" spans="1:10">
      <c r="A60" s="4" t="s">
        <v>131</v>
      </c>
      <c r="B60" s="4" t="s">
        <v>492</v>
      </c>
      <c r="C60" s="4" t="s">
        <v>493</v>
      </c>
      <c r="D60" s="4">
        <v>0.0014</v>
      </c>
      <c r="E60" s="4" t="s">
        <v>494</v>
      </c>
      <c r="F60" s="4" t="s">
        <v>495</v>
      </c>
      <c r="G60" s="4" t="s">
        <v>496</v>
      </c>
      <c r="H60" s="1">
        <f t="shared" si="3"/>
        <v>0.00521</v>
      </c>
      <c r="I60" s="1">
        <f t="shared" si="4"/>
        <v>213098</v>
      </c>
      <c r="J60" s="1" t="str">
        <f t="shared" si="5"/>
        <v>$0-$50</v>
      </c>
    </row>
    <row r="61" spans="1:10">
      <c r="A61" s="4" t="s">
        <v>78</v>
      </c>
      <c r="B61" s="4" t="s">
        <v>497</v>
      </c>
      <c r="C61" s="4" t="s">
        <v>498</v>
      </c>
      <c r="D61" s="4">
        <v>0.0031</v>
      </c>
      <c r="E61" s="4" t="s">
        <v>499</v>
      </c>
      <c r="F61" s="4" t="s">
        <v>500</v>
      </c>
      <c r="G61" s="4" t="s">
        <v>501</v>
      </c>
      <c r="H61" s="1">
        <f t="shared" si="3"/>
        <v>2.17</v>
      </c>
      <c r="I61" s="1">
        <f t="shared" si="4"/>
        <v>2564140</v>
      </c>
      <c r="J61" s="1" t="str">
        <f t="shared" si="5"/>
        <v>$0-$50</v>
      </c>
    </row>
    <row r="62" spans="1:10">
      <c r="A62" s="4" t="s">
        <v>165</v>
      </c>
      <c r="B62" s="4" t="s">
        <v>502</v>
      </c>
      <c r="C62" s="4" t="s">
        <v>503</v>
      </c>
      <c r="D62" s="4">
        <v>0.013</v>
      </c>
      <c r="E62" s="4" t="s">
        <v>504</v>
      </c>
      <c r="F62" s="4" t="s">
        <v>505</v>
      </c>
      <c r="G62" s="4" t="s">
        <v>506</v>
      </c>
      <c r="H62" s="1">
        <f t="shared" si="3"/>
        <v>0.6727</v>
      </c>
      <c r="I62" s="1">
        <f t="shared" si="4"/>
        <v>35491</v>
      </c>
      <c r="J62" s="1" t="str">
        <f t="shared" si="5"/>
        <v>$0-$50</v>
      </c>
    </row>
    <row r="63" spans="1:10">
      <c r="A63" s="4" t="s">
        <v>99</v>
      </c>
      <c r="B63" s="4" t="s">
        <v>507</v>
      </c>
      <c r="C63" s="4" t="s">
        <v>508</v>
      </c>
      <c r="D63" s="4">
        <v>0</v>
      </c>
      <c r="E63" s="4" t="s">
        <v>509</v>
      </c>
      <c r="F63" s="4" t="s">
        <v>510</v>
      </c>
      <c r="G63" s="4" t="s">
        <v>511</v>
      </c>
      <c r="H63" s="1">
        <f t="shared" si="3"/>
        <v>0.007354</v>
      </c>
      <c r="I63" s="1">
        <f t="shared" si="4"/>
        <v>758766</v>
      </c>
      <c r="J63" s="1" t="str">
        <f t="shared" si="5"/>
        <v>$0-$50</v>
      </c>
    </row>
    <row r="64" spans="1:10">
      <c r="A64" s="4" t="s">
        <v>34</v>
      </c>
      <c r="B64" s="4" t="s">
        <v>512</v>
      </c>
      <c r="C64" s="4" t="s">
        <v>513</v>
      </c>
      <c r="D64" s="4">
        <v>0.0016</v>
      </c>
      <c r="E64" s="4" t="s">
        <v>514</v>
      </c>
      <c r="F64" s="4" t="s">
        <v>515</v>
      </c>
      <c r="G64" s="4" t="s">
        <v>516</v>
      </c>
      <c r="H64" s="1">
        <f t="shared" si="3"/>
        <v>0.02359</v>
      </c>
      <c r="I64" s="1">
        <f t="shared" si="4"/>
        <v>10853972</v>
      </c>
      <c r="J64" s="1" t="str">
        <f t="shared" si="5"/>
        <v>$0-$50</v>
      </c>
    </row>
    <row r="65" spans="1:10">
      <c r="A65" s="4" t="s">
        <v>28</v>
      </c>
      <c r="B65" s="4" t="s">
        <v>517</v>
      </c>
      <c r="C65" s="4" t="s">
        <v>518</v>
      </c>
      <c r="D65" s="4">
        <v>0.0119</v>
      </c>
      <c r="E65" s="4" t="s">
        <v>519</v>
      </c>
      <c r="F65" s="4" t="s">
        <v>520</v>
      </c>
      <c r="G65" s="4" t="s">
        <v>521</v>
      </c>
      <c r="H65" s="1">
        <f t="shared" si="3"/>
        <v>0.06741</v>
      </c>
      <c r="I65" s="1">
        <f t="shared" si="4"/>
        <v>19016000</v>
      </c>
      <c r="J65" s="1" t="str">
        <f t="shared" si="5"/>
        <v>$0-$50</v>
      </c>
    </row>
    <row r="66" spans="1:10">
      <c r="A66" s="4" t="s">
        <v>117</v>
      </c>
      <c r="B66" s="4" t="s">
        <v>522</v>
      </c>
      <c r="C66" s="4" t="s">
        <v>523</v>
      </c>
      <c r="D66" s="4">
        <v>0.0024</v>
      </c>
      <c r="E66" s="4" t="s">
        <v>524</v>
      </c>
      <c r="F66" s="4" t="s">
        <v>525</v>
      </c>
      <c r="G66" s="4" t="s">
        <v>526</v>
      </c>
      <c r="H66" s="1">
        <f t="shared" si="3"/>
        <v>0.2525</v>
      </c>
      <c r="I66" s="1">
        <f t="shared" si="4"/>
        <v>339268</v>
      </c>
      <c r="J66" s="1" t="str">
        <f t="shared" si="5"/>
        <v>$0-$50</v>
      </c>
    </row>
    <row r="67" spans="1:10">
      <c r="A67" s="4" t="s">
        <v>39</v>
      </c>
      <c r="B67" s="4" t="s">
        <v>527</v>
      </c>
      <c r="C67" s="4" t="s">
        <v>528</v>
      </c>
      <c r="D67" s="4">
        <v>0.0059</v>
      </c>
      <c r="E67" s="4" t="s">
        <v>529</v>
      </c>
      <c r="F67" s="4" t="s">
        <v>530</v>
      </c>
      <c r="G67" s="4" t="s">
        <v>531</v>
      </c>
      <c r="H67" s="1">
        <f t="shared" ref="H67:H98" si="6">VALUE(SUBSTITUTE(C67,"$",""))</f>
        <v>0.01237</v>
      </c>
      <c r="I67" s="1">
        <f t="shared" ref="I67:I98" si="7">IFERROR(VALUE(SUBSTITUTE(SUBSTITUTE(F67,"$",""),",","")),0)</f>
        <v>10189722</v>
      </c>
      <c r="J67" s="1" t="str">
        <f t="shared" ref="J67:J98" si="8">IF(H67&lt;=50,"$0-$50","Above $50")</f>
        <v>$0-$50</v>
      </c>
    </row>
    <row r="68" spans="1:10">
      <c r="A68" s="4" t="s">
        <v>111</v>
      </c>
      <c r="B68" s="4" t="s">
        <v>532</v>
      </c>
      <c r="C68" s="4" t="s">
        <v>533</v>
      </c>
      <c r="D68" s="4">
        <v>0.0045</v>
      </c>
      <c r="E68" s="4" t="s">
        <v>534</v>
      </c>
      <c r="F68" s="4" t="s">
        <v>535</v>
      </c>
      <c r="G68" s="4" t="s">
        <v>536</v>
      </c>
      <c r="H68" s="1">
        <f t="shared" si="6"/>
        <v>0.4205</v>
      </c>
      <c r="I68" s="1">
        <f t="shared" si="7"/>
        <v>401821</v>
      </c>
      <c r="J68" s="1" t="str">
        <f t="shared" si="8"/>
        <v>$0-$50</v>
      </c>
    </row>
    <row r="69" spans="1:10">
      <c r="A69" s="4" t="s">
        <v>192</v>
      </c>
      <c r="B69" s="4" t="s">
        <v>537</v>
      </c>
      <c r="C69" s="4" t="s">
        <v>538</v>
      </c>
      <c r="D69" s="4">
        <v>0.0001</v>
      </c>
      <c r="E69" s="4" t="s">
        <v>539</v>
      </c>
      <c r="F69" s="4" t="s">
        <v>450</v>
      </c>
      <c r="G69" s="4" t="s">
        <v>540</v>
      </c>
      <c r="H69" s="1">
        <f t="shared" si="6"/>
        <v>0.4502</v>
      </c>
      <c r="I69" s="1">
        <f t="shared" si="7"/>
        <v>0</v>
      </c>
      <c r="J69" s="1" t="str">
        <f t="shared" si="8"/>
        <v>$0-$50</v>
      </c>
    </row>
    <row r="70" spans="1:10">
      <c r="A70" s="4" t="s">
        <v>40</v>
      </c>
      <c r="B70" s="4" t="s">
        <v>541</v>
      </c>
      <c r="C70" s="4" t="s">
        <v>542</v>
      </c>
      <c r="D70" s="4">
        <v>0.004</v>
      </c>
      <c r="E70" s="4" t="s">
        <v>543</v>
      </c>
      <c r="F70" s="4" t="s">
        <v>544</v>
      </c>
      <c r="G70" s="4" t="s">
        <v>545</v>
      </c>
      <c r="H70" s="1">
        <f t="shared" si="6"/>
        <v>1.01</v>
      </c>
      <c r="I70" s="1">
        <f t="shared" si="7"/>
        <v>10068683</v>
      </c>
      <c r="J70" s="1" t="str">
        <f t="shared" si="8"/>
        <v>$0-$50</v>
      </c>
    </row>
    <row r="71" spans="1:10">
      <c r="A71" s="4" t="s">
        <v>11</v>
      </c>
      <c r="B71" s="4" t="s">
        <v>546</v>
      </c>
      <c r="C71" s="4" t="s">
        <v>547</v>
      </c>
      <c r="D71" s="4">
        <v>0.0031</v>
      </c>
      <c r="E71" s="4" t="s">
        <v>548</v>
      </c>
      <c r="F71" s="4" t="s">
        <v>549</v>
      </c>
      <c r="G71" s="4" t="s">
        <v>550</v>
      </c>
      <c r="H71" s="1">
        <f t="shared" si="6"/>
        <v>0.249</v>
      </c>
      <c r="I71" s="1">
        <f t="shared" si="7"/>
        <v>68082352</v>
      </c>
      <c r="J71" s="1" t="str">
        <f t="shared" si="8"/>
        <v>$0-$50</v>
      </c>
    </row>
    <row r="72" spans="1:10">
      <c r="A72" s="4" t="s">
        <v>139</v>
      </c>
      <c r="B72" s="4" t="s">
        <v>551</v>
      </c>
      <c r="C72" s="4" t="s">
        <v>552</v>
      </c>
      <c r="D72" s="4">
        <v>0.0003</v>
      </c>
      <c r="E72" s="4" t="s">
        <v>553</v>
      </c>
      <c r="F72" s="4" t="s">
        <v>554</v>
      </c>
      <c r="G72" s="4" t="s">
        <v>555</v>
      </c>
      <c r="H72" s="1">
        <f t="shared" si="6"/>
        <v>0.1618</v>
      </c>
      <c r="I72" s="1">
        <f t="shared" si="7"/>
        <v>121069</v>
      </c>
      <c r="J72" s="1" t="str">
        <f t="shared" si="8"/>
        <v>$0-$50</v>
      </c>
    </row>
    <row r="73" spans="1:10">
      <c r="A73" s="4" t="s">
        <v>47</v>
      </c>
      <c r="B73" s="4" t="s">
        <v>556</v>
      </c>
      <c r="C73" s="4" t="s">
        <v>557</v>
      </c>
      <c r="D73" s="4">
        <v>0.0079</v>
      </c>
      <c r="E73" s="4" t="s">
        <v>558</v>
      </c>
      <c r="F73" s="4" t="s">
        <v>559</v>
      </c>
      <c r="G73" s="4" t="s">
        <v>560</v>
      </c>
      <c r="H73" s="1">
        <f t="shared" si="6"/>
        <v>0.1431</v>
      </c>
      <c r="I73" s="1">
        <f t="shared" si="7"/>
        <v>7857060</v>
      </c>
      <c r="J73" s="1" t="str">
        <f t="shared" si="8"/>
        <v>$0-$50</v>
      </c>
    </row>
    <row r="74" spans="1:10">
      <c r="A74" s="4" t="s">
        <v>137</v>
      </c>
      <c r="B74" s="4" t="s">
        <v>561</v>
      </c>
      <c r="C74" s="4" t="s">
        <v>562</v>
      </c>
      <c r="D74" s="4">
        <v>0.0012</v>
      </c>
      <c r="E74" s="4" t="s">
        <v>563</v>
      </c>
      <c r="F74" s="4" t="s">
        <v>564</v>
      </c>
      <c r="G74" s="4" t="s">
        <v>565</v>
      </c>
      <c r="H74" s="1">
        <f t="shared" si="6"/>
        <v>0.02046</v>
      </c>
      <c r="I74" s="1">
        <f t="shared" si="7"/>
        <v>129282</v>
      </c>
      <c r="J74" s="1" t="str">
        <f t="shared" si="8"/>
        <v>$0-$50</v>
      </c>
    </row>
    <row r="75" spans="1:10">
      <c r="A75" s="4" t="s">
        <v>64</v>
      </c>
      <c r="B75" s="4" t="s">
        <v>566</v>
      </c>
      <c r="C75" s="4" t="s">
        <v>567</v>
      </c>
      <c r="D75" s="4">
        <v>0.0025</v>
      </c>
      <c r="E75" s="4" t="s">
        <v>568</v>
      </c>
      <c r="F75" s="4" t="s">
        <v>569</v>
      </c>
      <c r="G75" s="4" t="s">
        <v>570</v>
      </c>
      <c r="H75" s="1">
        <f t="shared" si="6"/>
        <v>0.03011</v>
      </c>
      <c r="I75" s="1">
        <f t="shared" si="7"/>
        <v>5538677</v>
      </c>
      <c r="J75" s="1" t="str">
        <f t="shared" si="8"/>
        <v>$0-$50</v>
      </c>
    </row>
    <row r="76" spans="1:10">
      <c r="A76" s="4" t="s">
        <v>42</v>
      </c>
      <c r="B76" s="4" t="s">
        <v>42</v>
      </c>
      <c r="C76" s="4" t="s">
        <v>571</v>
      </c>
      <c r="D76" s="4">
        <v>0.009</v>
      </c>
      <c r="E76" s="4" t="s">
        <v>572</v>
      </c>
      <c r="F76" s="4" t="s">
        <v>573</v>
      </c>
      <c r="G76" s="4" t="s">
        <v>574</v>
      </c>
      <c r="H76" s="1">
        <f t="shared" si="6"/>
        <v>0.8987</v>
      </c>
      <c r="I76" s="1">
        <f t="shared" si="7"/>
        <v>9778739</v>
      </c>
      <c r="J76" s="1" t="str">
        <f t="shared" si="8"/>
        <v>$0-$50</v>
      </c>
    </row>
    <row r="77" spans="1:10">
      <c r="A77" s="4" t="s">
        <v>15</v>
      </c>
      <c r="B77" s="4" t="s">
        <v>575</v>
      </c>
      <c r="C77" s="4" t="s">
        <v>576</v>
      </c>
      <c r="D77" s="4">
        <v>0.0066</v>
      </c>
      <c r="E77" s="4" t="s">
        <v>577</v>
      </c>
      <c r="F77" s="4" t="s">
        <v>578</v>
      </c>
      <c r="G77" s="4" t="s">
        <v>579</v>
      </c>
      <c r="H77" s="1">
        <f t="shared" si="6"/>
        <v>0.1125</v>
      </c>
      <c r="I77" s="1">
        <f t="shared" si="7"/>
        <v>50371789</v>
      </c>
      <c r="J77" s="1" t="str">
        <f t="shared" si="8"/>
        <v>$0-$50</v>
      </c>
    </row>
    <row r="78" spans="1:10">
      <c r="A78" s="4" t="s">
        <v>87</v>
      </c>
      <c r="B78" s="4" t="s">
        <v>580</v>
      </c>
      <c r="C78" s="4" t="s">
        <v>581</v>
      </c>
      <c r="D78" s="4">
        <v>0.0014</v>
      </c>
      <c r="E78" s="4" t="s">
        <v>582</v>
      </c>
      <c r="F78" s="4" t="s">
        <v>583</v>
      </c>
      <c r="G78" s="4" t="s">
        <v>584</v>
      </c>
      <c r="H78" s="1">
        <f t="shared" si="6"/>
        <v>0.006097</v>
      </c>
      <c r="I78" s="1">
        <f t="shared" si="7"/>
        <v>1391859</v>
      </c>
      <c r="J78" s="1" t="str">
        <f t="shared" si="8"/>
        <v>$0-$50</v>
      </c>
    </row>
    <row r="79" spans="1:10">
      <c r="A79" s="4" t="s">
        <v>154</v>
      </c>
      <c r="B79" s="4" t="s">
        <v>585</v>
      </c>
      <c r="C79" s="4" t="s">
        <v>586</v>
      </c>
      <c r="D79" s="4">
        <v>0.0002</v>
      </c>
      <c r="E79" s="4" t="s">
        <v>587</v>
      </c>
      <c r="F79" s="4" t="s">
        <v>588</v>
      </c>
      <c r="G79" s="4" t="s">
        <v>589</v>
      </c>
      <c r="H79" s="1">
        <f t="shared" si="6"/>
        <v>1.23</v>
      </c>
      <c r="I79" s="1">
        <f t="shared" si="7"/>
        <v>75600</v>
      </c>
      <c r="J79" s="1" t="str">
        <f t="shared" si="8"/>
        <v>$0-$50</v>
      </c>
    </row>
    <row r="80" spans="1:10">
      <c r="A80" s="4" t="s">
        <v>29</v>
      </c>
      <c r="B80" s="4" t="s">
        <v>29</v>
      </c>
      <c r="C80" s="4" t="s">
        <v>590</v>
      </c>
      <c r="D80" s="4">
        <v>0.0019</v>
      </c>
      <c r="E80" s="4" t="s">
        <v>591</v>
      </c>
      <c r="F80" s="4" t="s">
        <v>592</v>
      </c>
      <c r="G80" s="4" t="s">
        <v>593</v>
      </c>
      <c r="H80" s="1">
        <f t="shared" si="6"/>
        <v>0.02275</v>
      </c>
      <c r="I80" s="1">
        <f t="shared" si="7"/>
        <v>18844509</v>
      </c>
      <c r="J80" s="1" t="str">
        <f t="shared" si="8"/>
        <v>$0-$50</v>
      </c>
    </row>
    <row r="81" spans="1:10">
      <c r="A81" s="4" t="s">
        <v>51</v>
      </c>
      <c r="B81" s="4" t="s">
        <v>594</v>
      </c>
      <c r="C81" s="4" t="s">
        <v>595</v>
      </c>
      <c r="D81" s="4">
        <v>0.0072</v>
      </c>
      <c r="E81" s="4" t="s">
        <v>596</v>
      </c>
      <c r="F81" s="4" t="s">
        <v>597</v>
      </c>
      <c r="G81" s="4" t="s">
        <v>598</v>
      </c>
      <c r="H81" s="1">
        <f t="shared" si="6"/>
        <v>0.03687</v>
      </c>
      <c r="I81" s="1">
        <f t="shared" si="7"/>
        <v>8324722</v>
      </c>
      <c r="J81" s="1" t="str">
        <f t="shared" si="8"/>
        <v>$0-$50</v>
      </c>
    </row>
    <row r="82" spans="1:10">
      <c r="A82" s="4" t="s">
        <v>108</v>
      </c>
      <c r="B82" s="4" t="s">
        <v>108</v>
      </c>
      <c r="C82" s="4" t="s">
        <v>599</v>
      </c>
      <c r="D82" s="4">
        <v>0.0216</v>
      </c>
      <c r="E82" s="4" t="s">
        <v>600</v>
      </c>
      <c r="F82" s="4" t="s">
        <v>601</v>
      </c>
      <c r="G82" s="4" t="s">
        <v>602</v>
      </c>
      <c r="H82" s="1">
        <f t="shared" si="6"/>
        <v>0.03186</v>
      </c>
      <c r="I82" s="1">
        <f t="shared" si="7"/>
        <v>467706</v>
      </c>
      <c r="J82" s="1" t="str">
        <f t="shared" si="8"/>
        <v>$0-$50</v>
      </c>
    </row>
    <row r="83" spans="1:10">
      <c r="A83" s="4" t="s">
        <v>58</v>
      </c>
      <c r="B83" s="4" t="s">
        <v>603</v>
      </c>
      <c r="C83" s="4" t="s">
        <v>604</v>
      </c>
      <c r="D83" s="4">
        <v>0.0159</v>
      </c>
      <c r="E83" s="4" t="s">
        <v>605</v>
      </c>
      <c r="F83" s="4" t="s">
        <v>606</v>
      </c>
      <c r="G83" s="4" t="s">
        <v>607</v>
      </c>
      <c r="H83" s="1">
        <f t="shared" si="6"/>
        <v>0.003897</v>
      </c>
      <c r="I83" s="1">
        <f t="shared" si="7"/>
        <v>6727701</v>
      </c>
      <c r="J83" s="1" t="str">
        <f t="shared" si="8"/>
        <v>$0-$50</v>
      </c>
    </row>
    <row r="84" spans="1:10">
      <c r="A84" s="4" t="s">
        <v>41</v>
      </c>
      <c r="B84" s="4" t="s">
        <v>608</v>
      </c>
      <c r="C84" s="4" t="s">
        <v>609</v>
      </c>
      <c r="D84" s="4">
        <v>0.0067</v>
      </c>
      <c r="E84" s="4" t="s">
        <v>610</v>
      </c>
      <c r="F84" s="4" t="s">
        <v>611</v>
      </c>
      <c r="G84" s="4" t="s">
        <v>612</v>
      </c>
      <c r="H84" s="1">
        <f t="shared" si="6"/>
        <v>0.6222</v>
      </c>
      <c r="I84" s="1">
        <f t="shared" si="7"/>
        <v>9982050</v>
      </c>
      <c r="J84" s="1" t="str">
        <f t="shared" si="8"/>
        <v>$0-$50</v>
      </c>
    </row>
    <row r="85" spans="1:10">
      <c r="A85" s="4" t="s">
        <v>32</v>
      </c>
      <c r="B85" s="4" t="s">
        <v>613</v>
      </c>
      <c r="C85" s="4" t="s">
        <v>614</v>
      </c>
      <c r="D85" s="4">
        <v>0.0037</v>
      </c>
      <c r="E85" s="4" t="s">
        <v>615</v>
      </c>
      <c r="F85" s="4" t="s">
        <v>616</v>
      </c>
      <c r="G85" s="4" t="s">
        <v>617</v>
      </c>
      <c r="H85" s="1">
        <f t="shared" si="6"/>
        <v>0.07615</v>
      </c>
      <c r="I85" s="1">
        <f t="shared" si="7"/>
        <v>11510400</v>
      </c>
      <c r="J85" s="1" t="str">
        <f t="shared" si="8"/>
        <v>$0-$50</v>
      </c>
    </row>
    <row r="86" spans="1:10">
      <c r="A86" s="4" t="s">
        <v>91</v>
      </c>
      <c r="B86" s="4" t="s">
        <v>91</v>
      </c>
      <c r="C86" s="4" t="s">
        <v>618</v>
      </c>
      <c r="D86" s="4">
        <v>0.005</v>
      </c>
      <c r="E86" s="4" t="s">
        <v>619</v>
      </c>
      <c r="F86" s="4" t="s">
        <v>620</v>
      </c>
      <c r="G86" s="4" t="s">
        <v>621</v>
      </c>
      <c r="H86" s="1">
        <f t="shared" si="6"/>
        <v>0.02106</v>
      </c>
      <c r="I86" s="1">
        <f t="shared" si="7"/>
        <v>1225263</v>
      </c>
      <c r="J86" s="1" t="str">
        <f t="shared" si="8"/>
        <v>$0-$50</v>
      </c>
    </row>
    <row r="87" spans="1:10">
      <c r="A87" s="4" t="s">
        <v>76</v>
      </c>
      <c r="B87" s="4" t="s">
        <v>622</v>
      </c>
      <c r="C87" s="4" t="s">
        <v>623</v>
      </c>
      <c r="D87" s="4">
        <v>0.0109</v>
      </c>
      <c r="E87" s="4" t="s">
        <v>624</v>
      </c>
      <c r="F87" s="4" t="s">
        <v>625</v>
      </c>
      <c r="G87" s="4" t="s">
        <v>297</v>
      </c>
      <c r="H87" s="1">
        <f t="shared" si="6"/>
        <v>0.02575</v>
      </c>
      <c r="I87" s="1">
        <f t="shared" si="7"/>
        <v>2642277</v>
      </c>
      <c r="J87" s="1" t="str">
        <f t="shared" si="8"/>
        <v>$0-$50</v>
      </c>
    </row>
    <row r="88" spans="1:10">
      <c r="A88" s="4" t="s">
        <v>159</v>
      </c>
      <c r="B88" s="4" t="s">
        <v>626</v>
      </c>
      <c r="C88" s="4" t="s">
        <v>627</v>
      </c>
      <c r="D88" s="4">
        <v>0</v>
      </c>
      <c r="E88" s="4" t="s">
        <v>628</v>
      </c>
      <c r="F88" s="4" t="s">
        <v>629</v>
      </c>
      <c r="G88" s="4" t="s">
        <v>630</v>
      </c>
      <c r="H88" s="1">
        <f t="shared" si="6"/>
        <v>0.1085</v>
      </c>
      <c r="I88" s="1">
        <f t="shared" si="7"/>
        <v>64349</v>
      </c>
      <c r="J88" s="1" t="str">
        <f t="shared" si="8"/>
        <v>$0-$50</v>
      </c>
    </row>
    <row r="89" spans="1:10">
      <c r="A89" s="4" t="s">
        <v>84</v>
      </c>
      <c r="B89" s="4" t="s">
        <v>631</v>
      </c>
      <c r="C89" s="4" t="s">
        <v>632</v>
      </c>
      <c r="D89" s="4">
        <v>0.0092</v>
      </c>
      <c r="E89" s="4" t="s">
        <v>633</v>
      </c>
      <c r="F89" s="4" t="s">
        <v>634</v>
      </c>
      <c r="G89" s="4" t="s">
        <v>635</v>
      </c>
      <c r="H89" s="1">
        <f t="shared" si="6"/>
        <v>0.09556</v>
      </c>
      <c r="I89" s="1">
        <f t="shared" si="7"/>
        <v>1704625</v>
      </c>
      <c r="J89" s="1" t="str">
        <f t="shared" si="8"/>
        <v>$0-$50</v>
      </c>
    </row>
    <row r="90" spans="1:10">
      <c r="A90" s="4" t="s">
        <v>65</v>
      </c>
      <c r="B90" s="4" t="s">
        <v>636</v>
      </c>
      <c r="C90" s="4" t="s">
        <v>637</v>
      </c>
      <c r="D90" s="4">
        <v>0.0006</v>
      </c>
      <c r="E90" s="4" t="s">
        <v>638</v>
      </c>
      <c r="F90" s="4" t="s">
        <v>639</v>
      </c>
      <c r="G90" s="4" t="s">
        <v>640</v>
      </c>
      <c r="H90" s="1">
        <f t="shared" si="6"/>
        <v>0.0255</v>
      </c>
      <c r="I90" s="1">
        <f t="shared" si="7"/>
        <v>5524554</v>
      </c>
      <c r="J90" s="1" t="str">
        <f t="shared" si="8"/>
        <v>$0-$50</v>
      </c>
    </row>
    <row r="91" spans="1:10">
      <c r="A91" s="4" t="s">
        <v>164</v>
      </c>
      <c r="B91" s="4" t="s">
        <v>641</v>
      </c>
      <c r="C91" s="4" t="s">
        <v>642</v>
      </c>
      <c r="D91" s="4">
        <v>0.0013</v>
      </c>
      <c r="E91" s="4" t="s">
        <v>643</v>
      </c>
      <c r="F91" s="4" t="s">
        <v>644</v>
      </c>
      <c r="G91" s="4" t="s">
        <v>645</v>
      </c>
      <c r="H91" s="1">
        <f t="shared" si="6"/>
        <v>0.8529</v>
      </c>
      <c r="I91" s="1">
        <f t="shared" si="7"/>
        <v>43405</v>
      </c>
      <c r="J91" s="1" t="str">
        <f t="shared" si="8"/>
        <v>$0-$50</v>
      </c>
    </row>
    <row r="92" spans="1:10">
      <c r="A92" s="4" t="s">
        <v>129</v>
      </c>
      <c r="B92" s="4" t="s">
        <v>129</v>
      </c>
      <c r="C92" s="4" t="s">
        <v>646</v>
      </c>
      <c r="D92" s="4">
        <v>0.0003</v>
      </c>
      <c r="E92" s="4" t="s">
        <v>647</v>
      </c>
      <c r="F92" s="4" t="s">
        <v>648</v>
      </c>
      <c r="G92" s="4" t="s">
        <v>649</v>
      </c>
      <c r="H92" s="1">
        <f t="shared" si="6"/>
        <v>0.9988</v>
      </c>
      <c r="I92" s="1">
        <f t="shared" si="7"/>
        <v>228239</v>
      </c>
      <c r="J92" s="1" t="str">
        <f t="shared" si="8"/>
        <v>$0-$50</v>
      </c>
    </row>
    <row r="93" spans="1:10">
      <c r="A93" s="4" t="s">
        <v>100</v>
      </c>
      <c r="B93" s="4" t="s">
        <v>650</v>
      </c>
      <c r="C93" s="4" t="s">
        <v>651</v>
      </c>
      <c r="D93" s="4">
        <v>0</v>
      </c>
      <c r="E93" s="4" t="s">
        <v>652</v>
      </c>
      <c r="F93" s="4" t="s">
        <v>653</v>
      </c>
      <c r="G93" s="4" t="s">
        <v>654</v>
      </c>
      <c r="H93" s="1">
        <f t="shared" si="6"/>
        <v>0.03792</v>
      </c>
      <c r="I93" s="1">
        <f t="shared" si="7"/>
        <v>706323</v>
      </c>
      <c r="J93" s="1" t="str">
        <f t="shared" si="8"/>
        <v>$0-$50</v>
      </c>
    </row>
    <row r="94" spans="1:10">
      <c r="A94" s="4" t="s">
        <v>113</v>
      </c>
      <c r="B94" s="4" t="s">
        <v>655</v>
      </c>
      <c r="C94" s="4" t="s">
        <v>656</v>
      </c>
      <c r="D94" s="4">
        <v>0.0003</v>
      </c>
      <c r="E94" s="4" t="s">
        <v>657</v>
      </c>
      <c r="F94" s="4" t="s">
        <v>658</v>
      </c>
      <c r="G94" s="4" t="s">
        <v>659</v>
      </c>
      <c r="H94" s="1">
        <f t="shared" si="6"/>
        <v>0.02001</v>
      </c>
      <c r="I94" s="1">
        <f t="shared" si="7"/>
        <v>357326</v>
      </c>
      <c r="J94" s="1" t="str">
        <f t="shared" si="8"/>
        <v>$0-$50</v>
      </c>
    </row>
    <row r="95" spans="1:10">
      <c r="A95" s="4" t="s">
        <v>63</v>
      </c>
      <c r="B95" s="4" t="s">
        <v>660</v>
      </c>
      <c r="C95" s="4" t="s">
        <v>661</v>
      </c>
      <c r="D95" s="4">
        <v>0.0052</v>
      </c>
      <c r="E95" s="4" t="s">
        <v>662</v>
      </c>
      <c r="F95" s="4" t="s">
        <v>663</v>
      </c>
      <c r="G95" s="4" t="s">
        <v>664</v>
      </c>
      <c r="H95" s="1">
        <f t="shared" si="6"/>
        <v>0.08172</v>
      </c>
      <c r="I95" s="1">
        <f t="shared" si="7"/>
        <v>5622803</v>
      </c>
      <c r="J95" s="1" t="str">
        <f t="shared" si="8"/>
        <v>$0-$50</v>
      </c>
    </row>
    <row r="96" spans="1:10">
      <c r="A96" s="4" t="s">
        <v>134</v>
      </c>
      <c r="B96" s="4" t="s">
        <v>665</v>
      </c>
      <c r="C96" s="4" t="s">
        <v>666</v>
      </c>
      <c r="D96" s="4">
        <v>0.0106</v>
      </c>
      <c r="E96" s="4" t="s">
        <v>667</v>
      </c>
      <c r="F96" s="4" t="s">
        <v>668</v>
      </c>
      <c r="G96" s="4" t="s">
        <v>669</v>
      </c>
      <c r="H96" s="1">
        <f t="shared" si="6"/>
        <v>0.005502</v>
      </c>
      <c r="I96" s="1">
        <f t="shared" si="7"/>
        <v>181555</v>
      </c>
      <c r="J96" s="1" t="str">
        <f t="shared" si="8"/>
        <v>$0-$50</v>
      </c>
    </row>
    <row r="97" spans="1:10">
      <c r="A97" s="4" t="s">
        <v>181</v>
      </c>
      <c r="B97" s="4" t="s">
        <v>670</v>
      </c>
      <c r="C97" s="4" t="s">
        <v>671</v>
      </c>
      <c r="D97" s="4">
        <v>0</v>
      </c>
      <c r="E97" s="4" t="s">
        <v>672</v>
      </c>
      <c r="F97" s="4" t="s">
        <v>673</v>
      </c>
      <c r="G97" s="4" t="s">
        <v>674</v>
      </c>
      <c r="H97" s="1">
        <f t="shared" si="6"/>
        <v>0.03889</v>
      </c>
      <c r="I97" s="1">
        <f t="shared" si="7"/>
        <v>1002</v>
      </c>
      <c r="J97" s="1" t="str">
        <f t="shared" si="8"/>
        <v>$0-$50</v>
      </c>
    </row>
    <row r="98" spans="1:10">
      <c r="A98" s="4" t="s">
        <v>132</v>
      </c>
      <c r="B98" s="4" t="s">
        <v>675</v>
      </c>
      <c r="C98" s="4" t="s">
        <v>676</v>
      </c>
      <c r="D98" s="4">
        <v>0.0004</v>
      </c>
      <c r="E98" s="4" t="s">
        <v>677</v>
      </c>
      <c r="F98" s="4" t="s">
        <v>678</v>
      </c>
      <c r="G98" s="4" t="s">
        <v>679</v>
      </c>
      <c r="H98" s="1">
        <f t="shared" si="6"/>
        <v>0.00937</v>
      </c>
      <c r="I98" s="1">
        <f t="shared" si="7"/>
        <v>189918</v>
      </c>
      <c r="J98" s="1" t="str">
        <f t="shared" si="8"/>
        <v>$0-$50</v>
      </c>
    </row>
    <row r="99" spans="1:10">
      <c r="A99" s="4" t="s">
        <v>67</v>
      </c>
      <c r="B99" s="4" t="s">
        <v>680</v>
      </c>
      <c r="C99" s="4" t="s">
        <v>681</v>
      </c>
      <c r="D99" s="4">
        <v>0.0007</v>
      </c>
      <c r="E99" s="4" t="s">
        <v>682</v>
      </c>
      <c r="F99" s="4" t="s">
        <v>683</v>
      </c>
      <c r="G99" s="4" t="s">
        <v>684</v>
      </c>
      <c r="H99" s="1">
        <f t="shared" ref="H99:H130" si="9">VALUE(SUBSTITUTE(C99,"$",""))</f>
        <v>0.06639</v>
      </c>
      <c r="I99" s="1">
        <f t="shared" ref="I99:I130" si="10">IFERROR(VALUE(SUBSTITUTE(SUBSTITUTE(F99,"$",""),",","")),0)</f>
        <v>4765140</v>
      </c>
      <c r="J99" s="1" t="str">
        <f t="shared" ref="J99:J130" si="11">IF(H99&lt;=50,"$0-$50","Above $50")</f>
        <v>$0-$50</v>
      </c>
    </row>
    <row r="100" spans="1:10">
      <c r="A100" s="4" t="s">
        <v>69</v>
      </c>
      <c r="B100" s="4" t="s">
        <v>685</v>
      </c>
      <c r="C100" s="4" t="s">
        <v>686</v>
      </c>
      <c r="D100" s="4">
        <v>0.0077</v>
      </c>
      <c r="E100" s="4" t="s">
        <v>687</v>
      </c>
      <c r="F100" s="4" t="s">
        <v>688</v>
      </c>
      <c r="G100" s="4" t="s">
        <v>689</v>
      </c>
      <c r="H100" s="1">
        <f t="shared" si="9"/>
        <v>0.02178</v>
      </c>
      <c r="I100" s="1">
        <f t="shared" si="10"/>
        <v>4492892</v>
      </c>
      <c r="J100" s="1" t="str">
        <f t="shared" si="11"/>
        <v>$0-$50</v>
      </c>
    </row>
    <row r="101" spans="1:10">
      <c r="A101" s="4" t="s">
        <v>140</v>
      </c>
      <c r="B101" s="4" t="s">
        <v>690</v>
      </c>
      <c r="C101" s="4" t="s">
        <v>691</v>
      </c>
      <c r="D101" s="4">
        <v>0.005</v>
      </c>
      <c r="E101" s="4" t="s">
        <v>692</v>
      </c>
      <c r="F101" s="4" t="s">
        <v>693</v>
      </c>
      <c r="G101" s="4" t="s">
        <v>694</v>
      </c>
      <c r="H101" s="1">
        <f t="shared" si="9"/>
        <v>16.85</v>
      </c>
      <c r="I101" s="1">
        <f t="shared" si="10"/>
        <v>119734</v>
      </c>
      <c r="J101" s="1" t="str">
        <f t="shared" si="11"/>
        <v>$0-$50</v>
      </c>
    </row>
    <row r="102" spans="1:10">
      <c r="A102" s="4" t="s">
        <v>17</v>
      </c>
      <c r="B102" s="4" t="s">
        <v>695</v>
      </c>
      <c r="C102" s="4" t="s">
        <v>696</v>
      </c>
      <c r="D102" s="4">
        <v>0.0104</v>
      </c>
      <c r="E102" s="4" t="s">
        <v>697</v>
      </c>
      <c r="F102" s="4" t="s">
        <v>698</v>
      </c>
      <c r="G102" s="4" t="s">
        <v>699</v>
      </c>
      <c r="H102" s="1">
        <f t="shared" si="9"/>
        <v>0.1108</v>
      </c>
      <c r="I102" s="1">
        <f t="shared" si="10"/>
        <v>32485149</v>
      </c>
      <c r="J102" s="1" t="str">
        <f t="shared" si="11"/>
        <v>$0-$50</v>
      </c>
    </row>
    <row r="103" spans="1:10">
      <c r="A103" s="4" t="s">
        <v>184</v>
      </c>
      <c r="B103" s="4" t="s">
        <v>184</v>
      </c>
      <c r="C103" s="4" t="s">
        <v>700</v>
      </c>
      <c r="D103" s="4">
        <v>0.0046</v>
      </c>
      <c r="E103" s="4" t="s">
        <v>701</v>
      </c>
      <c r="F103" s="4" t="s">
        <v>702</v>
      </c>
      <c r="G103" s="4" t="s">
        <v>703</v>
      </c>
      <c r="H103" s="1">
        <f t="shared" si="9"/>
        <v>0.007013</v>
      </c>
      <c r="I103" s="1">
        <f t="shared" si="10"/>
        <v>138</v>
      </c>
      <c r="J103" s="1" t="str">
        <f t="shared" si="11"/>
        <v>$0-$50</v>
      </c>
    </row>
    <row r="104" spans="1:10">
      <c r="A104" s="4" t="s">
        <v>105</v>
      </c>
      <c r="B104" s="4" t="s">
        <v>704</v>
      </c>
      <c r="C104" s="4" t="s">
        <v>705</v>
      </c>
      <c r="D104" s="4">
        <v>0.0011</v>
      </c>
      <c r="E104" s="4" t="s">
        <v>706</v>
      </c>
      <c r="F104" s="4" t="s">
        <v>707</v>
      </c>
      <c r="G104" s="4" t="s">
        <v>708</v>
      </c>
      <c r="H104" s="1">
        <f t="shared" si="9"/>
        <v>0.0003612</v>
      </c>
      <c r="I104" s="1">
        <f t="shared" si="10"/>
        <v>499518</v>
      </c>
      <c r="J104" s="1" t="str">
        <f t="shared" si="11"/>
        <v>$0-$50</v>
      </c>
    </row>
    <row r="105" spans="1:10">
      <c r="A105" s="4" t="s">
        <v>61</v>
      </c>
      <c r="B105" s="4" t="s">
        <v>709</v>
      </c>
      <c r="C105" s="4" t="s">
        <v>710</v>
      </c>
      <c r="D105" s="4">
        <v>0.0052</v>
      </c>
      <c r="E105" s="4" t="s">
        <v>711</v>
      </c>
      <c r="F105" s="4" t="s">
        <v>712</v>
      </c>
      <c r="G105" s="4" t="s">
        <v>713</v>
      </c>
      <c r="H105" s="1">
        <f t="shared" si="9"/>
        <v>0.0002118</v>
      </c>
      <c r="I105" s="1">
        <f t="shared" si="10"/>
        <v>6112676</v>
      </c>
      <c r="J105" s="1" t="str">
        <f t="shared" si="11"/>
        <v>$0-$50</v>
      </c>
    </row>
    <row r="106" spans="1:10">
      <c r="A106" s="4" t="s">
        <v>73</v>
      </c>
      <c r="B106" s="4" t="s">
        <v>714</v>
      </c>
      <c r="C106" s="4" t="s">
        <v>715</v>
      </c>
      <c r="D106" s="4">
        <v>0</v>
      </c>
      <c r="E106" s="4" t="s">
        <v>716</v>
      </c>
      <c r="F106" s="4" t="s">
        <v>717</v>
      </c>
      <c r="G106" s="4" t="s">
        <v>718</v>
      </c>
      <c r="H106" s="1">
        <f t="shared" si="9"/>
        <v>0.03322</v>
      </c>
      <c r="I106" s="1">
        <f t="shared" si="10"/>
        <v>4251361</v>
      </c>
      <c r="J106" s="1" t="str">
        <f t="shared" si="11"/>
        <v>$0-$50</v>
      </c>
    </row>
    <row r="107" spans="1:10">
      <c r="A107" s="4" t="s">
        <v>121</v>
      </c>
      <c r="B107" s="4" t="s">
        <v>719</v>
      </c>
      <c r="C107" s="4" t="s">
        <v>720</v>
      </c>
      <c r="D107" s="4">
        <v>0.0001</v>
      </c>
      <c r="E107" s="4" t="s">
        <v>721</v>
      </c>
      <c r="F107" s="4" t="s">
        <v>722</v>
      </c>
      <c r="G107" s="4" t="s">
        <v>723</v>
      </c>
      <c r="H107" s="1">
        <f t="shared" si="9"/>
        <v>0.02987</v>
      </c>
      <c r="I107" s="1">
        <f t="shared" si="10"/>
        <v>316134</v>
      </c>
      <c r="J107" s="1" t="str">
        <f t="shared" si="11"/>
        <v>$0-$50</v>
      </c>
    </row>
    <row r="108" spans="1:10">
      <c r="A108" s="4" t="s">
        <v>103</v>
      </c>
      <c r="B108" s="4" t="s">
        <v>724</v>
      </c>
      <c r="C108" s="4" t="s">
        <v>725</v>
      </c>
      <c r="D108" s="4">
        <v>0.0041</v>
      </c>
      <c r="E108" s="4" t="s">
        <v>726</v>
      </c>
      <c r="F108" s="4" t="s">
        <v>727</v>
      </c>
      <c r="G108" s="4" t="s">
        <v>728</v>
      </c>
      <c r="H108" s="1">
        <f t="shared" si="9"/>
        <v>0.071613</v>
      </c>
      <c r="I108" s="1">
        <f t="shared" si="10"/>
        <v>542805</v>
      </c>
      <c r="J108" s="1" t="str">
        <f t="shared" si="11"/>
        <v>$0-$50</v>
      </c>
    </row>
    <row r="109" spans="1:10">
      <c r="A109" s="4" t="s">
        <v>86</v>
      </c>
      <c r="B109" s="4" t="s">
        <v>729</v>
      </c>
      <c r="C109" s="4" t="s">
        <v>730</v>
      </c>
      <c r="D109" s="4">
        <v>0.0014</v>
      </c>
      <c r="E109" s="4" t="s">
        <v>731</v>
      </c>
      <c r="F109" s="4" t="s">
        <v>732</v>
      </c>
      <c r="G109" s="4" t="s">
        <v>441</v>
      </c>
      <c r="H109" s="1">
        <f t="shared" si="9"/>
        <v>0.01444</v>
      </c>
      <c r="I109" s="1">
        <f t="shared" si="10"/>
        <v>1406872</v>
      </c>
      <c r="J109" s="1" t="str">
        <f t="shared" si="11"/>
        <v>$0-$50</v>
      </c>
    </row>
    <row r="110" spans="1:10">
      <c r="A110" s="4" t="s">
        <v>101</v>
      </c>
      <c r="B110" s="4" t="s">
        <v>733</v>
      </c>
      <c r="C110" s="4" t="s">
        <v>734</v>
      </c>
      <c r="D110" s="4">
        <v>0.0081</v>
      </c>
      <c r="E110" s="4" t="s">
        <v>735</v>
      </c>
      <c r="F110" s="4" t="s">
        <v>736</v>
      </c>
      <c r="G110" s="4" t="s">
        <v>737</v>
      </c>
      <c r="H110" s="1">
        <f t="shared" si="9"/>
        <v>0.1963</v>
      </c>
      <c r="I110" s="1">
        <f t="shared" si="10"/>
        <v>686075</v>
      </c>
      <c r="J110" s="1" t="str">
        <f t="shared" si="11"/>
        <v>$0-$50</v>
      </c>
    </row>
    <row r="111" spans="1:10">
      <c r="A111" s="4" t="s">
        <v>166</v>
      </c>
      <c r="B111" s="4" t="s">
        <v>738</v>
      </c>
      <c r="C111" s="4" t="s">
        <v>739</v>
      </c>
      <c r="D111" s="4">
        <v>0.0012</v>
      </c>
      <c r="E111" s="4" t="s">
        <v>740</v>
      </c>
      <c r="F111" s="4" t="s">
        <v>741</v>
      </c>
      <c r="G111" s="4" t="s">
        <v>742</v>
      </c>
      <c r="H111" s="1">
        <f t="shared" si="9"/>
        <v>0.01483</v>
      </c>
      <c r="I111" s="1">
        <f t="shared" si="10"/>
        <v>34241</v>
      </c>
      <c r="J111" s="1" t="str">
        <f t="shared" si="11"/>
        <v>$0-$50</v>
      </c>
    </row>
    <row r="112" spans="1:10">
      <c r="A112" s="4" t="s">
        <v>98</v>
      </c>
      <c r="B112" s="4" t="s">
        <v>743</v>
      </c>
      <c r="C112" s="4" t="s">
        <v>744</v>
      </c>
      <c r="D112" s="4">
        <v>0.0028</v>
      </c>
      <c r="E112" s="4" t="s">
        <v>745</v>
      </c>
      <c r="F112" s="4" t="s">
        <v>746</v>
      </c>
      <c r="G112" s="4" t="s">
        <v>747</v>
      </c>
      <c r="H112" s="1">
        <f t="shared" si="9"/>
        <v>0.04302</v>
      </c>
      <c r="I112" s="1">
        <f t="shared" si="10"/>
        <v>810252</v>
      </c>
      <c r="J112" s="1" t="str">
        <f t="shared" si="11"/>
        <v>$0-$50</v>
      </c>
    </row>
    <row r="113" spans="1:10">
      <c r="A113" s="4" t="s">
        <v>48</v>
      </c>
      <c r="B113" s="4" t="s">
        <v>748</v>
      </c>
      <c r="C113" s="4" t="s">
        <v>749</v>
      </c>
      <c r="D113" s="4">
        <v>0.011</v>
      </c>
      <c r="E113" s="4" t="s">
        <v>750</v>
      </c>
      <c r="F113" s="4" t="s">
        <v>751</v>
      </c>
      <c r="G113" s="4" t="s">
        <v>752</v>
      </c>
      <c r="H113" s="1">
        <f t="shared" si="9"/>
        <v>0.01686</v>
      </c>
      <c r="I113" s="1">
        <f t="shared" si="10"/>
        <v>8799764</v>
      </c>
      <c r="J113" s="1" t="str">
        <f t="shared" si="11"/>
        <v>$0-$50</v>
      </c>
    </row>
    <row r="114" spans="1:10">
      <c r="A114" s="4" t="s">
        <v>60</v>
      </c>
      <c r="B114" s="4" t="s">
        <v>753</v>
      </c>
      <c r="C114" s="4" t="s">
        <v>754</v>
      </c>
      <c r="D114" s="4">
        <v>0.0005</v>
      </c>
      <c r="E114" s="4" t="s">
        <v>755</v>
      </c>
      <c r="F114" s="4" t="s">
        <v>756</v>
      </c>
      <c r="G114" s="4" t="s">
        <v>757</v>
      </c>
      <c r="H114" s="1">
        <f t="shared" si="9"/>
        <v>0.05637</v>
      </c>
      <c r="I114" s="1">
        <f t="shared" si="10"/>
        <v>6405267</v>
      </c>
      <c r="J114" s="1" t="str">
        <f t="shared" si="11"/>
        <v>$0-$50</v>
      </c>
    </row>
    <row r="115" spans="1:10">
      <c r="A115" s="4" t="s">
        <v>171</v>
      </c>
      <c r="B115" s="4" t="s">
        <v>758</v>
      </c>
      <c r="C115" s="4" t="s">
        <v>759</v>
      </c>
      <c r="D115" s="4">
        <v>0.0046</v>
      </c>
      <c r="E115" s="4" t="s">
        <v>760</v>
      </c>
      <c r="F115" s="4" t="s">
        <v>761</v>
      </c>
      <c r="G115" s="4" t="s">
        <v>762</v>
      </c>
      <c r="H115" s="1">
        <f t="shared" si="9"/>
        <v>0.3249</v>
      </c>
      <c r="I115" s="1">
        <f t="shared" si="10"/>
        <v>25910</v>
      </c>
      <c r="J115" s="1" t="str">
        <f t="shared" si="11"/>
        <v>$0-$50</v>
      </c>
    </row>
    <row r="116" spans="1:10">
      <c r="A116" s="4" t="s">
        <v>147</v>
      </c>
      <c r="B116" s="4" t="s">
        <v>763</v>
      </c>
      <c r="C116" s="4" t="s">
        <v>764</v>
      </c>
      <c r="D116" s="4">
        <v>0.026</v>
      </c>
      <c r="E116" s="4" t="s">
        <v>765</v>
      </c>
      <c r="F116" s="4" t="s">
        <v>766</v>
      </c>
      <c r="G116" s="4" t="s">
        <v>767</v>
      </c>
      <c r="H116" s="1">
        <f t="shared" si="9"/>
        <v>0.1833</v>
      </c>
      <c r="I116" s="1">
        <f t="shared" si="10"/>
        <v>95241</v>
      </c>
      <c r="J116" s="1" t="str">
        <f t="shared" si="11"/>
        <v>$0-$50</v>
      </c>
    </row>
    <row r="117" spans="1:10">
      <c r="A117" s="4" t="s">
        <v>92</v>
      </c>
      <c r="B117" s="4" t="s">
        <v>92</v>
      </c>
      <c r="C117" s="4" t="s">
        <v>768</v>
      </c>
      <c r="D117" s="4">
        <v>0.0164</v>
      </c>
      <c r="E117" s="4" t="s">
        <v>769</v>
      </c>
      <c r="F117" s="4" t="s">
        <v>770</v>
      </c>
      <c r="G117" s="4" t="s">
        <v>771</v>
      </c>
      <c r="H117" s="1">
        <f t="shared" si="9"/>
        <v>0.01242</v>
      </c>
      <c r="I117" s="1">
        <f t="shared" si="10"/>
        <v>1157910</v>
      </c>
      <c r="J117" s="1" t="str">
        <f t="shared" si="11"/>
        <v>$0-$50</v>
      </c>
    </row>
    <row r="118" spans="1:10">
      <c r="A118" s="4" t="s">
        <v>174</v>
      </c>
      <c r="B118" s="4" t="s">
        <v>772</v>
      </c>
      <c r="C118" s="4" t="s">
        <v>773</v>
      </c>
      <c r="D118" s="4">
        <v>0.0087</v>
      </c>
      <c r="E118" s="4" t="s">
        <v>774</v>
      </c>
      <c r="F118" s="4" t="s">
        <v>775</v>
      </c>
      <c r="G118" s="4" t="s">
        <v>776</v>
      </c>
      <c r="H118" s="1">
        <f t="shared" si="9"/>
        <v>0.004238</v>
      </c>
      <c r="I118" s="1">
        <f t="shared" si="10"/>
        <v>19472</v>
      </c>
      <c r="J118" s="1" t="str">
        <f t="shared" si="11"/>
        <v>$0-$50</v>
      </c>
    </row>
    <row r="119" spans="1:10">
      <c r="A119" s="4" t="s">
        <v>127</v>
      </c>
      <c r="B119" s="4" t="s">
        <v>777</v>
      </c>
      <c r="C119" s="4" t="s">
        <v>778</v>
      </c>
      <c r="D119" s="4">
        <v>0.0051</v>
      </c>
      <c r="E119" s="4" t="s">
        <v>779</v>
      </c>
      <c r="F119" s="4" t="s">
        <v>780</v>
      </c>
      <c r="G119" s="4" t="s">
        <v>781</v>
      </c>
      <c r="H119" s="1">
        <f t="shared" si="9"/>
        <v>0.074502</v>
      </c>
      <c r="I119" s="1">
        <f t="shared" si="10"/>
        <v>233918</v>
      </c>
      <c r="J119" s="1" t="str">
        <f t="shared" si="11"/>
        <v>$0-$50</v>
      </c>
    </row>
    <row r="120" spans="1:10">
      <c r="A120" s="4" t="s">
        <v>143</v>
      </c>
      <c r="B120" s="4" t="s">
        <v>782</v>
      </c>
      <c r="C120" s="4" t="s">
        <v>783</v>
      </c>
      <c r="D120" s="4">
        <v>0.0038</v>
      </c>
      <c r="E120" s="4" t="s">
        <v>784</v>
      </c>
      <c r="F120" s="4" t="s">
        <v>785</v>
      </c>
      <c r="G120" s="4" t="s">
        <v>786</v>
      </c>
      <c r="H120" s="1">
        <f t="shared" si="9"/>
        <v>0.2159</v>
      </c>
      <c r="I120" s="1">
        <f t="shared" si="10"/>
        <v>105278</v>
      </c>
      <c r="J120" s="1" t="str">
        <f t="shared" si="11"/>
        <v>$0-$50</v>
      </c>
    </row>
    <row r="121" spans="1:10">
      <c r="A121" s="4" t="s">
        <v>49</v>
      </c>
      <c r="B121" s="4" t="s">
        <v>787</v>
      </c>
      <c r="C121" s="4" t="s">
        <v>788</v>
      </c>
      <c r="D121" s="4">
        <v>0.0092</v>
      </c>
      <c r="E121" s="4" t="s">
        <v>789</v>
      </c>
      <c r="F121" s="4" t="s">
        <v>790</v>
      </c>
      <c r="G121" s="4" t="s">
        <v>791</v>
      </c>
      <c r="H121" s="1">
        <f t="shared" si="9"/>
        <v>0.0004861</v>
      </c>
      <c r="I121" s="1">
        <f t="shared" si="10"/>
        <v>8599503</v>
      </c>
      <c r="J121" s="1" t="str">
        <f t="shared" si="11"/>
        <v>$0-$50</v>
      </c>
    </row>
    <row r="122" spans="1:10">
      <c r="A122" s="4" t="s">
        <v>16</v>
      </c>
      <c r="B122" s="4" t="s">
        <v>792</v>
      </c>
      <c r="C122" s="4" t="s">
        <v>793</v>
      </c>
      <c r="D122" s="4">
        <v>0.0005</v>
      </c>
      <c r="E122" s="4" t="s">
        <v>794</v>
      </c>
      <c r="F122" s="4" t="s">
        <v>795</v>
      </c>
      <c r="G122" s="4" t="s">
        <v>796</v>
      </c>
      <c r="H122" s="1">
        <f t="shared" si="9"/>
        <v>0.9993</v>
      </c>
      <c r="I122" s="1">
        <f t="shared" si="10"/>
        <v>50214459</v>
      </c>
      <c r="J122" s="1" t="str">
        <f t="shared" si="11"/>
        <v>$0-$50</v>
      </c>
    </row>
    <row r="123" spans="1:10">
      <c r="A123" s="4" t="s">
        <v>186</v>
      </c>
      <c r="B123" s="4" t="s">
        <v>797</v>
      </c>
      <c r="C123" s="4" t="s">
        <v>798</v>
      </c>
      <c r="D123" s="4">
        <v>0.0009</v>
      </c>
      <c r="E123" s="4" t="s">
        <v>799</v>
      </c>
      <c r="F123" s="4" t="s">
        <v>800</v>
      </c>
      <c r="G123" s="4" t="s">
        <v>801</v>
      </c>
      <c r="H123" s="1">
        <f t="shared" si="9"/>
        <v>3.38</v>
      </c>
      <c r="I123" s="1">
        <f t="shared" si="10"/>
        <v>10</v>
      </c>
      <c r="J123" s="1" t="str">
        <f t="shared" si="11"/>
        <v>$0-$50</v>
      </c>
    </row>
    <row r="124" spans="1:10">
      <c r="A124" s="4" t="s">
        <v>83</v>
      </c>
      <c r="B124" s="4" t="s">
        <v>802</v>
      </c>
      <c r="C124" s="4" t="s">
        <v>803</v>
      </c>
      <c r="D124" s="4">
        <v>0.0037</v>
      </c>
      <c r="E124" s="4" t="s">
        <v>804</v>
      </c>
      <c r="F124" s="4" t="s">
        <v>805</v>
      </c>
      <c r="G124" s="4" t="s">
        <v>806</v>
      </c>
      <c r="H124" s="1">
        <f t="shared" si="9"/>
        <v>0.894</v>
      </c>
      <c r="I124" s="1">
        <f t="shared" si="10"/>
        <v>1784357</v>
      </c>
      <c r="J124" s="1" t="str">
        <f t="shared" si="11"/>
        <v>$0-$50</v>
      </c>
    </row>
    <row r="125" spans="1:10">
      <c r="A125" s="4" t="s">
        <v>93</v>
      </c>
      <c r="B125" s="4" t="s">
        <v>807</v>
      </c>
      <c r="C125" s="4" t="s">
        <v>808</v>
      </c>
      <c r="D125" s="4">
        <v>0.0113</v>
      </c>
      <c r="E125" s="4" t="s">
        <v>809</v>
      </c>
      <c r="F125" s="4" t="s">
        <v>810</v>
      </c>
      <c r="G125" s="4" t="s">
        <v>811</v>
      </c>
      <c r="H125" s="1">
        <f t="shared" si="9"/>
        <v>0.008843</v>
      </c>
      <c r="I125" s="1">
        <f t="shared" si="10"/>
        <v>1018996</v>
      </c>
      <c r="J125" s="1" t="str">
        <f t="shared" si="11"/>
        <v>$0-$50</v>
      </c>
    </row>
    <row r="126" spans="1:10">
      <c r="A126" s="4" t="s">
        <v>96</v>
      </c>
      <c r="B126" s="4" t="s">
        <v>812</v>
      </c>
      <c r="C126" s="4" t="s">
        <v>813</v>
      </c>
      <c r="D126" s="4">
        <v>0.0014</v>
      </c>
      <c r="E126" s="4" t="s">
        <v>814</v>
      </c>
      <c r="F126" s="4" t="s">
        <v>815</v>
      </c>
      <c r="G126" s="4" t="s">
        <v>816</v>
      </c>
      <c r="H126" s="1">
        <f t="shared" si="9"/>
        <v>0.03631</v>
      </c>
      <c r="I126" s="1">
        <f t="shared" si="10"/>
        <v>849245</v>
      </c>
      <c r="J126" s="1" t="str">
        <f t="shared" si="11"/>
        <v>$0-$50</v>
      </c>
    </row>
    <row r="127" spans="1:10">
      <c r="A127" s="4" t="s">
        <v>167</v>
      </c>
      <c r="B127" s="4" t="s">
        <v>817</v>
      </c>
      <c r="C127" s="4" t="s">
        <v>818</v>
      </c>
      <c r="D127" s="4">
        <v>0.0024</v>
      </c>
      <c r="E127" s="4" t="s">
        <v>819</v>
      </c>
      <c r="F127" s="4" t="s">
        <v>820</v>
      </c>
      <c r="G127" s="4" t="s">
        <v>821</v>
      </c>
      <c r="H127" s="1">
        <f t="shared" si="9"/>
        <v>0.04564</v>
      </c>
      <c r="I127" s="1">
        <f t="shared" si="10"/>
        <v>31161</v>
      </c>
      <c r="J127" s="1" t="str">
        <f t="shared" si="11"/>
        <v>$0-$50</v>
      </c>
    </row>
    <row r="128" spans="1:10">
      <c r="A128" s="4" t="s">
        <v>124</v>
      </c>
      <c r="B128" s="4" t="s">
        <v>822</v>
      </c>
      <c r="C128" s="4" t="s">
        <v>823</v>
      </c>
      <c r="D128" s="4">
        <v>0.0062</v>
      </c>
      <c r="E128" s="4" t="s">
        <v>824</v>
      </c>
      <c r="F128" s="4" t="s">
        <v>825</v>
      </c>
      <c r="G128" s="4" t="s">
        <v>826</v>
      </c>
      <c r="H128" s="1">
        <f t="shared" si="9"/>
        <v>0.08713</v>
      </c>
      <c r="I128" s="1">
        <f t="shared" si="10"/>
        <v>260752</v>
      </c>
      <c r="J128" s="1" t="str">
        <f t="shared" si="11"/>
        <v>$0-$50</v>
      </c>
    </row>
    <row r="129" spans="1:10">
      <c r="A129" s="4" t="s">
        <v>55</v>
      </c>
      <c r="B129" s="4" t="s">
        <v>827</v>
      </c>
      <c r="C129" s="4" t="s">
        <v>828</v>
      </c>
      <c r="D129" s="4">
        <v>0.0041</v>
      </c>
      <c r="E129" s="4" t="s">
        <v>829</v>
      </c>
      <c r="F129" s="4" t="s">
        <v>830</v>
      </c>
      <c r="G129" s="4" t="s">
        <v>831</v>
      </c>
      <c r="H129" s="1">
        <f t="shared" si="9"/>
        <v>0.03952</v>
      </c>
      <c r="I129" s="1">
        <f t="shared" si="10"/>
        <v>7734230</v>
      </c>
      <c r="J129" s="1" t="str">
        <f t="shared" si="11"/>
        <v>$0-$50</v>
      </c>
    </row>
    <row r="130" spans="1:10">
      <c r="A130" s="4" t="s">
        <v>128</v>
      </c>
      <c r="B130" s="4" t="s">
        <v>832</v>
      </c>
      <c r="C130" s="4" t="s">
        <v>833</v>
      </c>
      <c r="D130" s="4">
        <v>0.0043</v>
      </c>
      <c r="E130" s="4" t="s">
        <v>834</v>
      </c>
      <c r="F130" s="4" t="s">
        <v>835</v>
      </c>
      <c r="G130" s="4" t="s">
        <v>836</v>
      </c>
      <c r="H130" s="1">
        <f t="shared" si="9"/>
        <v>0.09871</v>
      </c>
      <c r="I130" s="1">
        <f t="shared" si="10"/>
        <v>229548</v>
      </c>
      <c r="J130" s="1" t="str">
        <f t="shared" si="11"/>
        <v>$0-$50</v>
      </c>
    </row>
    <row r="131" spans="1:10">
      <c r="A131" s="4" t="s">
        <v>157</v>
      </c>
      <c r="B131" s="4" t="s">
        <v>837</v>
      </c>
      <c r="C131" s="4" t="s">
        <v>838</v>
      </c>
      <c r="D131" s="4">
        <v>0.0043</v>
      </c>
      <c r="E131" s="4" t="s">
        <v>839</v>
      </c>
      <c r="F131" s="4" t="s">
        <v>840</v>
      </c>
      <c r="G131" s="4" t="s">
        <v>841</v>
      </c>
      <c r="H131" s="1">
        <f t="shared" ref="H131:H162" si="12">VALUE(SUBSTITUTE(C131,"$",""))</f>
        <v>0.2912</v>
      </c>
      <c r="I131" s="1">
        <f t="shared" ref="I131:I162" si="13">IFERROR(VALUE(SUBSTITUTE(SUBSTITUTE(F131,"$",""),",","")),0)</f>
        <v>65907</v>
      </c>
      <c r="J131" s="1" t="str">
        <f t="shared" ref="J131:J162" si="14">IF(H131&lt;=50,"$0-$50","Above $50")</f>
        <v>$0-$50</v>
      </c>
    </row>
    <row r="132" spans="1:10">
      <c r="A132" s="4" t="s">
        <v>188</v>
      </c>
      <c r="B132" s="4" t="s">
        <v>188</v>
      </c>
      <c r="C132" s="4" t="s">
        <v>842</v>
      </c>
      <c r="D132" s="4">
        <v>0</v>
      </c>
      <c r="E132" s="4" t="s">
        <v>843</v>
      </c>
      <c r="F132" s="4" t="s">
        <v>450</v>
      </c>
      <c r="G132" s="4" t="s">
        <v>844</v>
      </c>
      <c r="H132" s="1">
        <f t="shared" si="12"/>
        <v>0.702</v>
      </c>
      <c r="I132" s="1">
        <f t="shared" si="13"/>
        <v>0</v>
      </c>
      <c r="J132" s="1" t="str">
        <f t="shared" si="14"/>
        <v>$0-$50</v>
      </c>
    </row>
    <row r="133" spans="1:10">
      <c r="A133" s="4" t="s">
        <v>189</v>
      </c>
      <c r="B133" s="4" t="s">
        <v>845</v>
      </c>
      <c r="C133" s="4" t="s">
        <v>846</v>
      </c>
      <c r="D133" s="4">
        <v>0.0002</v>
      </c>
      <c r="E133" s="4" t="s">
        <v>847</v>
      </c>
      <c r="F133" s="4" t="s">
        <v>450</v>
      </c>
      <c r="G133" s="4" t="s">
        <v>848</v>
      </c>
      <c r="H133" s="1">
        <f t="shared" si="12"/>
        <v>0.02555</v>
      </c>
      <c r="I133" s="1">
        <f t="shared" si="13"/>
        <v>0</v>
      </c>
      <c r="J133" s="1" t="str">
        <f t="shared" si="14"/>
        <v>$0-$50</v>
      </c>
    </row>
    <row r="134" spans="1:10">
      <c r="A134" s="4" t="s">
        <v>136</v>
      </c>
      <c r="B134" s="4" t="s">
        <v>849</v>
      </c>
      <c r="C134" s="4" t="s">
        <v>850</v>
      </c>
      <c r="D134" s="4">
        <v>0.0015</v>
      </c>
      <c r="E134" s="4" t="s">
        <v>851</v>
      </c>
      <c r="F134" s="4" t="s">
        <v>852</v>
      </c>
      <c r="G134" s="4" t="s">
        <v>853</v>
      </c>
      <c r="H134" s="1">
        <f t="shared" si="12"/>
        <v>0.03469</v>
      </c>
      <c r="I134" s="1">
        <f t="shared" si="13"/>
        <v>146941</v>
      </c>
      <c r="J134" s="1" t="str">
        <f t="shared" si="14"/>
        <v>$0-$50</v>
      </c>
    </row>
    <row r="135" spans="1:10">
      <c r="A135" s="4" t="s">
        <v>178</v>
      </c>
      <c r="B135" s="4" t="s">
        <v>854</v>
      </c>
      <c r="C135" s="4" t="s">
        <v>855</v>
      </c>
      <c r="D135" s="4">
        <v>0.0002</v>
      </c>
      <c r="E135" s="4" t="s">
        <v>856</v>
      </c>
      <c r="F135" s="4" t="s">
        <v>857</v>
      </c>
      <c r="G135" s="4" t="s">
        <v>858</v>
      </c>
      <c r="H135" s="1">
        <f t="shared" si="12"/>
        <v>0.01934</v>
      </c>
      <c r="I135" s="1">
        <f t="shared" si="13"/>
        <v>6780</v>
      </c>
      <c r="J135" s="1" t="str">
        <f t="shared" si="14"/>
        <v>$0-$50</v>
      </c>
    </row>
    <row r="136" spans="1:10">
      <c r="A136" s="4" t="s">
        <v>195</v>
      </c>
      <c r="B136" s="4" t="s">
        <v>859</v>
      </c>
      <c r="C136" s="4" t="s">
        <v>860</v>
      </c>
      <c r="D136" s="4">
        <v>0</v>
      </c>
      <c r="E136" s="4" t="s">
        <v>861</v>
      </c>
      <c r="F136" s="4" t="s">
        <v>450</v>
      </c>
      <c r="G136" s="4" t="s">
        <v>862</v>
      </c>
      <c r="H136" s="1">
        <f t="shared" si="12"/>
        <v>1.759e-5</v>
      </c>
      <c r="I136" s="1">
        <f t="shared" si="13"/>
        <v>0</v>
      </c>
      <c r="J136" s="1" t="str">
        <f t="shared" si="14"/>
        <v>$0-$50</v>
      </c>
    </row>
    <row r="137" spans="1:10">
      <c r="A137" s="4" t="s">
        <v>109</v>
      </c>
      <c r="B137" s="4" t="s">
        <v>863</v>
      </c>
      <c r="C137" s="4" t="s">
        <v>864</v>
      </c>
      <c r="D137" s="4">
        <v>0.0285</v>
      </c>
      <c r="E137" s="4" t="s">
        <v>865</v>
      </c>
      <c r="F137" s="4" t="s">
        <v>866</v>
      </c>
      <c r="G137" s="4" t="s">
        <v>867</v>
      </c>
      <c r="H137" s="1">
        <f t="shared" si="12"/>
        <v>1.38</v>
      </c>
      <c r="I137" s="1">
        <f t="shared" si="13"/>
        <v>425962</v>
      </c>
      <c r="J137" s="1" t="str">
        <f t="shared" si="14"/>
        <v>$0-$50</v>
      </c>
    </row>
    <row r="138" spans="1:10">
      <c r="A138" s="4" t="s">
        <v>150</v>
      </c>
      <c r="B138" s="4" t="s">
        <v>868</v>
      </c>
      <c r="C138" s="4" t="s">
        <v>869</v>
      </c>
      <c r="D138" s="4">
        <v>0.0006</v>
      </c>
      <c r="E138" s="4" t="s">
        <v>870</v>
      </c>
      <c r="F138" s="4" t="s">
        <v>871</v>
      </c>
      <c r="G138" s="4" t="s">
        <v>872</v>
      </c>
      <c r="H138" s="1">
        <f t="shared" si="12"/>
        <v>0.0002995</v>
      </c>
      <c r="I138" s="1">
        <f t="shared" si="13"/>
        <v>87808</v>
      </c>
      <c r="J138" s="1" t="str">
        <f t="shared" si="14"/>
        <v>$0-$50</v>
      </c>
    </row>
    <row r="139" spans="1:10">
      <c r="A139" s="4" t="s">
        <v>133</v>
      </c>
      <c r="B139" s="4" t="s">
        <v>873</v>
      </c>
      <c r="C139" s="4" t="s">
        <v>874</v>
      </c>
      <c r="D139" s="4">
        <v>0.0038</v>
      </c>
      <c r="E139" s="4" t="s">
        <v>875</v>
      </c>
      <c r="F139" s="4" t="s">
        <v>876</v>
      </c>
      <c r="G139" s="4" t="s">
        <v>877</v>
      </c>
      <c r="H139" s="1">
        <f t="shared" si="12"/>
        <v>0.0009944</v>
      </c>
      <c r="I139" s="1">
        <f t="shared" si="13"/>
        <v>187469</v>
      </c>
      <c r="J139" s="1" t="str">
        <f t="shared" si="14"/>
        <v>$0-$50</v>
      </c>
    </row>
    <row r="140" spans="1:10">
      <c r="A140" s="4" t="s">
        <v>116</v>
      </c>
      <c r="B140" s="4" t="s">
        <v>116</v>
      </c>
      <c r="C140" s="4" t="s">
        <v>878</v>
      </c>
      <c r="D140" s="4">
        <v>0.0018</v>
      </c>
      <c r="E140" s="4" t="s">
        <v>879</v>
      </c>
      <c r="F140" s="4" t="s">
        <v>880</v>
      </c>
      <c r="G140" s="4" t="s">
        <v>881</v>
      </c>
      <c r="H140" s="1">
        <f t="shared" si="12"/>
        <v>0.1352</v>
      </c>
      <c r="I140" s="1">
        <f t="shared" si="13"/>
        <v>340331</v>
      </c>
      <c r="J140" s="1" t="str">
        <f t="shared" si="14"/>
        <v>$0-$50</v>
      </c>
    </row>
    <row r="141" spans="1:10">
      <c r="A141" s="4" t="s">
        <v>120</v>
      </c>
      <c r="B141" s="4" t="s">
        <v>882</v>
      </c>
      <c r="C141" s="4" t="s">
        <v>883</v>
      </c>
      <c r="D141" s="4">
        <v>0.0012</v>
      </c>
      <c r="E141" s="4" t="s">
        <v>884</v>
      </c>
      <c r="F141" s="4" t="s">
        <v>885</v>
      </c>
      <c r="G141" s="4" t="s">
        <v>886</v>
      </c>
      <c r="H141" s="1">
        <f t="shared" si="12"/>
        <v>0.004908</v>
      </c>
      <c r="I141" s="1">
        <f t="shared" si="13"/>
        <v>321408</v>
      </c>
      <c r="J141" s="1" t="str">
        <f t="shared" si="14"/>
        <v>$0-$50</v>
      </c>
    </row>
    <row r="142" spans="1:10">
      <c r="A142" s="4" t="s">
        <v>74</v>
      </c>
      <c r="B142" s="4" t="s">
        <v>887</v>
      </c>
      <c r="C142" s="4" t="s">
        <v>888</v>
      </c>
      <c r="D142" s="4">
        <v>0.0159</v>
      </c>
      <c r="E142" s="4" t="s">
        <v>889</v>
      </c>
      <c r="F142" s="4" t="s">
        <v>890</v>
      </c>
      <c r="G142" s="4" t="s">
        <v>891</v>
      </c>
      <c r="H142" s="1">
        <f t="shared" si="12"/>
        <v>0.06052</v>
      </c>
      <c r="I142" s="1">
        <f t="shared" si="13"/>
        <v>4164781</v>
      </c>
      <c r="J142" s="1" t="str">
        <f t="shared" si="14"/>
        <v>$0-$50</v>
      </c>
    </row>
    <row r="143" spans="1:10">
      <c r="A143" s="4" t="s">
        <v>75</v>
      </c>
      <c r="B143" s="4" t="s">
        <v>892</v>
      </c>
      <c r="C143" s="4" t="s">
        <v>893</v>
      </c>
      <c r="D143" s="4">
        <v>0.0011</v>
      </c>
      <c r="E143" s="4" t="s">
        <v>894</v>
      </c>
      <c r="F143" s="4" t="s">
        <v>895</v>
      </c>
      <c r="G143" s="4" t="s">
        <v>896</v>
      </c>
      <c r="H143" s="1">
        <f t="shared" si="12"/>
        <v>0.261</v>
      </c>
      <c r="I143" s="1">
        <f t="shared" si="13"/>
        <v>3754649</v>
      </c>
      <c r="J143" s="1" t="str">
        <f t="shared" si="14"/>
        <v>$0-$50</v>
      </c>
    </row>
    <row r="144" spans="1:10">
      <c r="A144" s="4" t="s">
        <v>160</v>
      </c>
      <c r="B144" s="4" t="s">
        <v>897</v>
      </c>
      <c r="C144" s="4" t="s">
        <v>898</v>
      </c>
      <c r="D144" s="4">
        <v>0.0011</v>
      </c>
      <c r="E144" s="4" t="s">
        <v>899</v>
      </c>
      <c r="F144" s="4" t="s">
        <v>900</v>
      </c>
      <c r="G144" s="4" t="s">
        <v>901</v>
      </c>
      <c r="H144" s="1">
        <f t="shared" si="12"/>
        <v>0.005877</v>
      </c>
      <c r="I144" s="1">
        <f t="shared" si="13"/>
        <v>59834</v>
      </c>
      <c r="J144" s="1" t="str">
        <f t="shared" si="14"/>
        <v>$0-$50</v>
      </c>
    </row>
    <row r="145" spans="1:10">
      <c r="A145" s="4" t="s">
        <v>168</v>
      </c>
      <c r="B145" s="4" t="s">
        <v>902</v>
      </c>
      <c r="C145" s="4" t="s">
        <v>903</v>
      </c>
      <c r="D145" s="4">
        <v>0.0294</v>
      </c>
      <c r="E145" s="4" t="s">
        <v>904</v>
      </c>
      <c r="F145" s="4" t="s">
        <v>905</v>
      </c>
      <c r="G145" s="4" t="s">
        <v>906</v>
      </c>
      <c r="H145" s="1">
        <f t="shared" si="12"/>
        <v>0.01122</v>
      </c>
      <c r="I145" s="1">
        <f t="shared" si="13"/>
        <v>30255</v>
      </c>
      <c r="J145" s="1" t="str">
        <f t="shared" si="14"/>
        <v>$0-$50</v>
      </c>
    </row>
    <row r="146" spans="1:10">
      <c r="A146" s="4" t="s">
        <v>94</v>
      </c>
      <c r="B146" s="4" t="s">
        <v>907</v>
      </c>
      <c r="C146" s="4" t="s">
        <v>908</v>
      </c>
      <c r="D146" s="4">
        <v>0.0009</v>
      </c>
      <c r="E146" s="4" t="s">
        <v>909</v>
      </c>
      <c r="F146" s="4" t="s">
        <v>910</v>
      </c>
      <c r="G146" s="4" t="s">
        <v>911</v>
      </c>
      <c r="H146" s="1">
        <f t="shared" si="12"/>
        <v>0.05787</v>
      </c>
      <c r="I146" s="1">
        <f t="shared" si="13"/>
        <v>1013267</v>
      </c>
      <c r="J146" s="1" t="str">
        <f t="shared" si="14"/>
        <v>$0-$50</v>
      </c>
    </row>
    <row r="147" spans="1:10">
      <c r="A147" s="4" t="s">
        <v>97</v>
      </c>
      <c r="B147" s="4" t="s">
        <v>97</v>
      </c>
      <c r="C147" s="4" t="s">
        <v>912</v>
      </c>
      <c r="D147" s="4">
        <v>0.0032</v>
      </c>
      <c r="E147" s="4" t="s">
        <v>913</v>
      </c>
      <c r="F147" s="4" t="s">
        <v>914</v>
      </c>
      <c r="G147" s="4" t="s">
        <v>915</v>
      </c>
      <c r="H147" s="1">
        <f t="shared" si="12"/>
        <v>0.06946</v>
      </c>
      <c r="I147" s="1">
        <f t="shared" si="13"/>
        <v>846710</v>
      </c>
      <c r="J147" s="1" t="str">
        <f t="shared" si="14"/>
        <v>$0-$50</v>
      </c>
    </row>
    <row r="148" spans="1:10">
      <c r="A148" s="4" t="s">
        <v>170</v>
      </c>
      <c r="B148" s="4" t="s">
        <v>916</v>
      </c>
      <c r="C148" s="4" t="s">
        <v>917</v>
      </c>
      <c r="D148" s="4">
        <v>0.0119</v>
      </c>
      <c r="E148" s="4" t="s">
        <v>918</v>
      </c>
      <c r="F148" s="4" t="s">
        <v>919</v>
      </c>
      <c r="G148" s="4" t="s">
        <v>920</v>
      </c>
      <c r="H148" s="1">
        <f t="shared" si="12"/>
        <v>9.06</v>
      </c>
      <c r="I148" s="1">
        <f t="shared" si="13"/>
        <v>27503</v>
      </c>
      <c r="J148" s="1" t="str">
        <f t="shared" si="14"/>
        <v>$0-$50</v>
      </c>
    </row>
    <row r="149" spans="1:10">
      <c r="A149" s="4" t="s">
        <v>158</v>
      </c>
      <c r="B149" s="4" t="s">
        <v>921</v>
      </c>
      <c r="C149" s="4" t="s">
        <v>922</v>
      </c>
      <c r="D149" s="4">
        <v>0.0119</v>
      </c>
      <c r="E149" s="4" t="s">
        <v>923</v>
      </c>
      <c r="F149" s="4" t="s">
        <v>924</v>
      </c>
      <c r="G149" s="4" t="s">
        <v>925</v>
      </c>
      <c r="H149" s="1">
        <f t="shared" si="12"/>
        <v>0.3037</v>
      </c>
      <c r="I149" s="1">
        <f t="shared" si="13"/>
        <v>64548</v>
      </c>
      <c r="J149" s="1" t="str">
        <f t="shared" si="14"/>
        <v>$0-$50</v>
      </c>
    </row>
    <row r="150" spans="1:10">
      <c r="A150" s="4" t="s">
        <v>77</v>
      </c>
      <c r="B150" s="4" t="s">
        <v>926</v>
      </c>
      <c r="C150" s="4" t="s">
        <v>927</v>
      </c>
      <c r="D150" s="4">
        <v>0.0091</v>
      </c>
      <c r="E150" s="4" t="s">
        <v>928</v>
      </c>
      <c r="F150" s="4" t="s">
        <v>929</v>
      </c>
      <c r="G150" s="4" t="s">
        <v>930</v>
      </c>
      <c r="H150" s="1">
        <f t="shared" si="12"/>
        <v>0.005238</v>
      </c>
      <c r="I150" s="1">
        <f t="shared" si="13"/>
        <v>2582102</v>
      </c>
      <c r="J150" s="1" t="str">
        <f t="shared" si="14"/>
        <v>$0-$50</v>
      </c>
    </row>
    <row r="151" spans="1:10">
      <c r="A151" s="4" t="s">
        <v>123</v>
      </c>
      <c r="B151" s="4" t="s">
        <v>931</v>
      </c>
      <c r="C151" s="4" t="s">
        <v>932</v>
      </c>
      <c r="D151" s="4">
        <v>0.0003</v>
      </c>
      <c r="E151" s="4" t="s">
        <v>933</v>
      </c>
      <c r="F151" s="4" t="s">
        <v>934</v>
      </c>
      <c r="G151" s="4" t="s">
        <v>935</v>
      </c>
      <c r="H151" s="1">
        <f t="shared" si="12"/>
        <v>0.02444</v>
      </c>
      <c r="I151" s="1">
        <f t="shared" si="13"/>
        <v>289972</v>
      </c>
      <c r="J151" s="1" t="str">
        <f t="shared" si="14"/>
        <v>$0-$50</v>
      </c>
    </row>
    <row r="152" spans="1:10">
      <c r="A152" s="4" t="s">
        <v>112</v>
      </c>
      <c r="B152" s="4" t="s">
        <v>936</v>
      </c>
      <c r="C152" s="4" t="s">
        <v>937</v>
      </c>
      <c r="D152" s="4">
        <v>0.0133</v>
      </c>
      <c r="E152" s="4" t="s">
        <v>938</v>
      </c>
      <c r="F152" s="4" t="s">
        <v>939</v>
      </c>
      <c r="G152" s="4" t="s">
        <v>940</v>
      </c>
      <c r="H152" s="1">
        <f t="shared" si="12"/>
        <v>0.084376</v>
      </c>
      <c r="I152" s="1">
        <f t="shared" si="13"/>
        <v>369327</v>
      </c>
      <c r="J152" s="1" t="str">
        <f t="shared" si="14"/>
        <v>$0-$50</v>
      </c>
    </row>
    <row r="153" spans="1:10">
      <c r="A153" s="4" t="s">
        <v>197</v>
      </c>
      <c r="B153" s="4" t="s">
        <v>941</v>
      </c>
      <c r="C153" s="4" t="s">
        <v>942</v>
      </c>
      <c r="D153" s="4">
        <v>0</v>
      </c>
      <c r="E153" s="4" t="s">
        <v>943</v>
      </c>
      <c r="F153" s="4" t="s">
        <v>450</v>
      </c>
      <c r="G153" s="4" t="s">
        <v>944</v>
      </c>
      <c r="H153" s="1">
        <f t="shared" si="12"/>
        <v>0.03701</v>
      </c>
      <c r="I153" s="1">
        <f t="shared" si="13"/>
        <v>0</v>
      </c>
      <c r="J153" s="1" t="str">
        <f t="shared" si="14"/>
        <v>$0-$50</v>
      </c>
    </row>
    <row r="154" spans="1:10">
      <c r="A154" s="4" t="s">
        <v>199</v>
      </c>
      <c r="B154" s="4" t="s">
        <v>945</v>
      </c>
      <c r="C154" s="4" t="s">
        <v>946</v>
      </c>
      <c r="D154" s="4">
        <v>0</v>
      </c>
      <c r="E154" s="4" t="s">
        <v>947</v>
      </c>
      <c r="F154" s="4" t="s">
        <v>450</v>
      </c>
      <c r="G154" s="4" t="s">
        <v>948</v>
      </c>
      <c r="H154" s="1">
        <f t="shared" si="12"/>
        <v>0.0009776</v>
      </c>
      <c r="I154" s="1">
        <f t="shared" si="13"/>
        <v>0</v>
      </c>
      <c r="J154" s="1" t="str">
        <f t="shared" si="14"/>
        <v>$0-$50</v>
      </c>
    </row>
    <row r="155" spans="1:10">
      <c r="A155" s="4" t="s">
        <v>38</v>
      </c>
      <c r="B155" s="4" t="s">
        <v>949</v>
      </c>
      <c r="C155" s="4" t="s">
        <v>950</v>
      </c>
      <c r="D155" s="4">
        <v>0.0369</v>
      </c>
      <c r="E155" s="4" t="s">
        <v>951</v>
      </c>
      <c r="F155" s="4" t="s">
        <v>952</v>
      </c>
      <c r="G155" s="4" t="s">
        <v>953</v>
      </c>
      <c r="H155" s="1">
        <f t="shared" si="12"/>
        <v>0.0006957</v>
      </c>
      <c r="I155" s="1">
        <f t="shared" si="13"/>
        <v>10230683</v>
      </c>
      <c r="J155" s="1" t="str">
        <f t="shared" si="14"/>
        <v>$0-$50</v>
      </c>
    </row>
    <row r="156" spans="1:10">
      <c r="A156" s="4" t="s">
        <v>145</v>
      </c>
      <c r="B156" s="4" t="s">
        <v>954</v>
      </c>
      <c r="C156" s="4" t="s">
        <v>955</v>
      </c>
      <c r="D156" s="4">
        <v>0.001</v>
      </c>
      <c r="E156" s="4" t="s">
        <v>956</v>
      </c>
      <c r="F156" s="4" t="s">
        <v>957</v>
      </c>
      <c r="G156" s="4" t="s">
        <v>958</v>
      </c>
      <c r="H156" s="1">
        <f t="shared" si="12"/>
        <v>0.02762</v>
      </c>
      <c r="I156" s="1">
        <f t="shared" si="13"/>
        <v>96917</v>
      </c>
      <c r="J156" s="1" t="str">
        <f t="shared" si="14"/>
        <v>$0-$50</v>
      </c>
    </row>
    <row r="157" spans="1:10">
      <c r="A157" s="4" t="s">
        <v>177</v>
      </c>
      <c r="B157" s="4" t="s">
        <v>959</v>
      </c>
      <c r="C157" s="4" t="s">
        <v>960</v>
      </c>
      <c r="D157" s="4">
        <v>0.0022</v>
      </c>
      <c r="E157" s="4" t="s">
        <v>961</v>
      </c>
      <c r="F157" s="4" t="s">
        <v>962</v>
      </c>
      <c r="G157" s="4" t="s">
        <v>963</v>
      </c>
      <c r="H157" s="1">
        <f t="shared" si="12"/>
        <v>0.003939</v>
      </c>
      <c r="I157" s="1">
        <f t="shared" si="13"/>
        <v>8766</v>
      </c>
      <c r="J157" s="1" t="str">
        <f t="shared" si="14"/>
        <v>$0-$50</v>
      </c>
    </row>
    <row r="158" spans="1:10">
      <c r="A158" s="4" t="s">
        <v>194</v>
      </c>
      <c r="B158" s="4" t="s">
        <v>194</v>
      </c>
      <c r="C158" s="4" t="s">
        <v>964</v>
      </c>
      <c r="D158" s="4">
        <v>0.0001</v>
      </c>
      <c r="E158" s="4" t="s">
        <v>965</v>
      </c>
      <c r="F158" s="4" t="s">
        <v>450</v>
      </c>
      <c r="G158" s="4" t="s">
        <v>966</v>
      </c>
      <c r="H158" s="1">
        <f t="shared" si="12"/>
        <v>0.4422</v>
      </c>
      <c r="I158" s="1">
        <f t="shared" si="13"/>
        <v>0</v>
      </c>
      <c r="J158" s="1" t="str">
        <f t="shared" si="14"/>
        <v>$0-$50</v>
      </c>
    </row>
    <row r="159" spans="1:10">
      <c r="A159" s="4" t="s">
        <v>141</v>
      </c>
      <c r="B159" s="4" t="s">
        <v>967</v>
      </c>
      <c r="C159" s="4" t="s">
        <v>968</v>
      </c>
      <c r="D159" s="4">
        <v>0.0098</v>
      </c>
      <c r="E159" s="4" t="s">
        <v>969</v>
      </c>
      <c r="F159" s="4" t="s">
        <v>970</v>
      </c>
      <c r="G159" s="4" t="s">
        <v>971</v>
      </c>
      <c r="H159" s="1">
        <f t="shared" si="12"/>
        <v>0.2066</v>
      </c>
      <c r="I159" s="1">
        <f t="shared" si="13"/>
        <v>106213</v>
      </c>
      <c r="J159" s="1" t="str">
        <f t="shared" si="14"/>
        <v>$0-$50</v>
      </c>
    </row>
    <row r="160" spans="1:10">
      <c r="A160" s="4" t="s">
        <v>182</v>
      </c>
      <c r="B160" s="4" t="s">
        <v>972</v>
      </c>
      <c r="C160" s="4" t="s">
        <v>973</v>
      </c>
      <c r="D160" s="4">
        <v>0.0003</v>
      </c>
      <c r="E160" s="4" t="s">
        <v>974</v>
      </c>
      <c r="F160" s="4" t="s">
        <v>975</v>
      </c>
      <c r="G160" s="4" t="s">
        <v>976</v>
      </c>
      <c r="H160" s="1">
        <f t="shared" si="12"/>
        <v>0.000947</v>
      </c>
      <c r="I160" s="1">
        <f t="shared" si="13"/>
        <v>847</v>
      </c>
      <c r="J160" s="1" t="str">
        <f t="shared" si="14"/>
        <v>$0-$50</v>
      </c>
    </row>
    <row r="161" spans="1:10">
      <c r="A161" s="4" t="s">
        <v>114</v>
      </c>
      <c r="B161" s="4" t="s">
        <v>977</v>
      </c>
      <c r="C161" s="4" t="s">
        <v>978</v>
      </c>
      <c r="D161" s="4">
        <v>0.0069</v>
      </c>
      <c r="E161" s="4" t="s">
        <v>979</v>
      </c>
      <c r="F161" s="4" t="s">
        <v>980</v>
      </c>
      <c r="G161" s="4" t="s">
        <v>981</v>
      </c>
      <c r="H161" s="1">
        <f t="shared" si="12"/>
        <v>0.0008261</v>
      </c>
      <c r="I161" s="1">
        <f t="shared" si="13"/>
        <v>355240</v>
      </c>
      <c r="J161" s="1" t="str">
        <f t="shared" si="14"/>
        <v>$0-$50</v>
      </c>
    </row>
    <row r="162" spans="1:10">
      <c r="A162" s="4" t="s">
        <v>198</v>
      </c>
      <c r="B162" s="4" t="s">
        <v>982</v>
      </c>
      <c r="C162" s="4" t="s">
        <v>983</v>
      </c>
      <c r="D162" s="4">
        <v>0</v>
      </c>
      <c r="E162" s="4" t="s">
        <v>984</v>
      </c>
      <c r="F162" s="4" t="s">
        <v>450</v>
      </c>
      <c r="G162" s="4" t="s">
        <v>976</v>
      </c>
      <c r="H162" s="1">
        <f t="shared" si="12"/>
        <v>0.0007666</v>
      </c>
      <c r="I162" s="1">
        <f t="shared" si="13"/>
        <v>0</v>
      </c>
      <c r="J162" s="1" t="str">
        <f t="shared" si="14"/>
        <v>$0-$50</v>
      </c>
    </row>
    <row r="163" spans="1:10">
      <c r="A163" s="4" t="s">
        <v>118</v>
      </c>
      <c r="B163" s="4" t="s">
        <v>985</v>
      </c>
      <c r="C163" s="4" t="s">
        <v>986</v>
      </c>
      <c r="D163" s="4">
        <v>0.0027</v>
      </c>
      <c r="E163" s="4" t="s">
        <v>987</v>
      </c>
      <c r="F163" s="4" t="s">
        <v>988</v>
      </c>
      <c r="G163" s="4" t="s">
        <v>989</v>
      </c>
      <c r="H163" s="1">
        <f t="shared" ref="H163:H194" si="15">VALUE(SUBSTITUTE(C163,"$",""))</f>
        <v>0.162</v>
      </c>
      <c r="I163" s="1">
        <f t="shared" ref="I163:I194" si="16">IFERROR(VALUE(SUBSTITUTE(SUBSTITUTE(F163,"$",""),",","")),0)</f>
        <v>331094</v>
      </c>
      <c r="J163" s="1" t="str">
        <f t="shared" ref="J163:J194" si="17">IF(H163&lt;=50,"$0-$50","Above $50")</f>
        <v>$0-$50</v>
      </c>
    </row>
    <row r="164" spans="1:10">
      <c r="A164" s="4" t="s">
        <v>175</v>
      </c>
      <c r="B164" s="4" t="s">
        <v>990</v>
      </c>
      <c r="C164" s="4" t="s">
        <v>991</v>
      </c>
      <c r="D164" s="4">
        <v>0.0054</v>
      </c>
      <c r="E164" s="4" t="s">
        <v>992</v>
      </c>
      <c r="F164" s="4" t="s">
        <v>993</v>
      </c>
      <c r="G164" s="4" t="s">
        <v>994</v>
      </c>
      <c r="H164" s="1">
        <f t="shared" si="15"/>
        <v>0.001237</v>
      </c>
      <c r="I164" s="1">
        <f t="shared" si="16"/>
        <v>18420</v>
      </c>
      <c r="J164" s="1" t="str">
        <f t="shared" si="17"/>
        <v>$0-$50</v>
      </c>
    </row>
    <row r="165" spans="1:10">
      <c r="A165" s="4" t="s">
        <v>85</v>
      </c>
      <c r="B165" s="4" t="s">
        <v>85</v>
      </c>
      <c r="C165" s="4" t="s">
        <v>995</v>
      </c>
      <c r="D165" s="4">
        <v>0.0096</v>
      </c>
      <c r="E165" s="4" t="s">
        <v>996</v>
      </c>
      <c r="F165" s="4" t="s">
        <v>997</v>
      </c>
      <c r="G165" s="4" t="s">
        <v>998</v>
      </c>
      <c r="H165" s="1">
        <f t="shared" si="15"/>
        <v>0.0004016</v>
      </c>
      <c r="I165" s="1">
        <f t="shared" si="16"/>
        <v>1613699</v>
      </c>
      <c r="J165" s="1" t="str">
        <f t="shared" si="17"/>
        <v>$0-$50</v>
      </c>
    </row>
    <row r="166" spans="1:10">
      <c r="A166" s="4" t="s">
        <v>95</v>
      </c>
      <c r="B166" s="4" t="s">
        <v>999</v>
      </c>
      <c r="C166" s="4" t="s">
        <v>1000</v>
      </c>
      <c r="D166" s="4">
        <v>0.0016</v>
      </c>
      <c r="E166" s="4" t="s">
        <v>1001</v>
      </c>
      <c r="F166" s="4" t="s">
        <v>1002</v>
      </c>
      <c r="G166" s="4" t="s">
        <v>1003</v>
      </c>
      <c r="H166" s="1">
        <f t="shared" si="15"/>
        <v>0.05404</v>
      </c>
      <c r="I166" s="1">
        <f t="shared" si="16"/>
        <v>875780</v>
      </c>
      <c r="J166" s="1" t="str">
        <f t="shared" si="17"/>
        <v>$0-$50</v>
      </c>
    </row>
    <row r="167" spans="1:10">
      <c r="A167" s="4" t="s">
        <v>80</v>
      </c>
      <c r="B167" s="4" t="s">
        <v>1004</v>
      </c>
      <c r="C167" s="4" t="s">
        <v>1005</v>
      </c>
      <c r="D167" s="4">
        <v>0.0112</v>
      </c>
      <c r="E167" s="4" t="s">
        <v>1006</v>
      </c>
      <c r="F167" s="4" t="s">
        <v>1007</v>
      </c>
      <c r="G167" s="4" t="s">
        <v>1008</v>
      </c>
      <c r="H167" s="1">
        <f t="shared" si="15"/>
        <v>0.0132</v>
      </c>
      <c r="I167" s="1">
        <f t="shared" si="16"/>
        <v>2394175</v>
      </c>
      <c r="J167" s="1" t="str">
        <f t="shared" si="17"/>
        <v>$0-$50</v>
      </c>
    </row>
    <row r="168" spans="1:10">
      <c r="A168" s="4" t="s">
        <v>146</v>
      </c>
      <c r="B168" s="4" t="s">
        <v>1009</v>
      </c>
      <c r="C168" s="4" t="s">
        <v>1010</v>
      </c>
      <c r="D168" s="4">
        <v>0.0003</v>
      </c>
      <c r="E168" s="4" t="s">
        <v>1011</v>
      </c>
      <c r="F168" s="4" t="s">
        <v>1012</v>
      </c>
      <c r="G168" s="4" t="s">
        <v>1013</v>
      </c>
      <c r="H168" s="1">
        <f t="shared" si="15"/>
        <v>0.004211</v>
      </c>
      <c r="I168" s="1">
        <f t="shared" si="16"/>
        <v>95553</v>
      </c>
      <c r="J168" s="1" t="str">
        <f t="shared" si="17"/>
        <v>$0-$50</v>
      </c>
    </row>
    <row r="169" spans="1:10">
      <c r="A169" s="4" t="s">
        <v>82</v>
      </c>
      <c r="B169" s="4" t="s">
        <v>1014</v>
      </c>
      <c r="C169" s="4" t="s">
        <v>1015</v>
      </c>
      <c r="D169" s="4">
        <v>0.0029</v>
      </c>
      <c r="E169" s="4" t="s">
        <v>1016</v>
      </c>
      <c r="F169" s="4" t="s">
        <v>1017</v>
      </c>
      <c r="G169" s="4" t="s">
        <v>1018</v>
      </c>
      <c r="H169" s="1">
        <f t="shared" si="15"/>
        <v>0.03652</v>
      </c>
      <c r="I169" s="1">
        <f t="shared" si="16"/>
        <v>1991360</v>
      </c>
      <c r="J169" s="1" t="str">
        <f t="shared" si="17"/>
        <v>$0-$50</v>
      </c>
    </row>
    <row r="170" spans="1:10">
      <c r="A170" s="4" t="s">
        <v>173</v>
      </c>
      <c r="B170" s="4" t="s">
        <v>1019</v>
      </c>
      <c r="C170" s="4" t="s">
        <v>1020</v>
      </c>
      <c r="D170" s="4">
        <v>0</v>
      </c>
      <c r="E170" s="4" t="s">
        <v>1021</v>
      </c>
      <c r="F170" s="4" t="s">
        <v>1022</v>
      </c>
      <c r="G170" s="4" t="s">
        <v>1023</v>
      </c>
      <c r="H170" s="1">
        <f t="shared" si="15"/>
        <v>0.000329</v>
      </c>
      <c r="I170" s="1">
        <f t="shared" si="16"/>
        <v>19915</v>
      </c>
      <c r="J170" s="1" t="str">
        <f t="shared" si="17"/>
        <v>$0-$50</v>
      </c>
    </row>
    <row r="171" spans="1:10">
      <c r="A171" s="4" t="s">
        <v>138</v>
      </c>
      <c r="B171" s="4" t="s">
        <v>1024</v>
      </c>
      <c r="C171" s="4" t="s">
        <v>1025</v>
      </c>
      <c r="D171" s="4">
        <v>0.0074</v>
      </c>
      <c r="E171" s="4" t="s">
        <v>1026</v>
      </c>
      <c r="F171" s="4" t="s">
        <v>1027</v>
      </c>
      <c r="G171" s="4" t="s">
        <v>1028</v>
      </c>
      <c r="H171" s="1">
        <f t="shared" si="15"/>
        <v>0.003694</v>
      </c>
      <c r="I171" s="1">
        <f t="shared" si="16"/>
        <v>123380</v>
      </c>
      <c r="J171" s="1" t="str">
        <f t="shared" si="17"/>
        <v>$0-$50</v>
      </c>
    </row>
    <row r="172" spans="1:10">
      <c r="A172" s="4" t="s">
        <v>106</v>
      </c>
      <c r="B172" s="4" t="s">
        <v>1029</v>
      </c>
      <c r="C172" s="4" t="s">
        <v>1030</v>
      </c>
      <c r="D172" s="4">
        <v>0.0017</v>
      </c>
      <c r="E172" s="4" t="s">
        <v>1031</v>
      </c>
      <c r="F172" s="4" t="s">
        <v>1032</v>
      </c>
      <c r="G172" s="4" t="s">
        <v>1033</v>
      </c>
      <c r="H172" s="1">
        <f t="shared" si="15"/>
        <v>0.00502</v>
      </c>
      <c r="I172" s="1">
        <f t="shared" si="16"/>
        <v>492884</v>
      </c>
      <c r="J172" s="1" t="str">
        <f t="shared" si="17"/>
        <v>$0-$50</v>
      </c>
    </row>
    <row r="173" spans="1:10">
      <c r="A173" s="4" t="s">
        <v>152</v>
      </c>
      <c r="B173" s="4" t="s">
        <v>1034</v>
      </c>
      <c r="C173" s="4" t="s">
        <v>1035</v>
      </c>
      <c r="D173" s="4">
        <v>0.0032</v>
      </c>
      <c r="E173" s="4" t="s">
        <v>1036</v>
      </c>
      <c r="F173" s="4" t="s">
        <v>1037</v>
      </c>
      <c r="G173" s="4" t="s">
        <v>1038</v>
      </c>
      <c r="H173" s="1">
        <f t="shared" si="15"/>
        <v>0.003526</v>
      </c>
      <c r="I173" s="1">
        <f t="shared" si="16"/>
        <v>78498</v>
      </c>
      <c r="J173" s="1" t="str">
        <f t="shared" si="17"/>
        <v>$0-$50</v>
      </c>
    </row>
    <row r="174" spans="1:10">
      <c r="A174" s="4" t="s">
        <v>191</v>
      </c>
      <c r="B174" s="4" t="s">
        <v>1039</v>
      </c>
      <c r="C174" s="4" t="s">
        <v>1040</v>
      </c>
      <c r="D174" s="4">
        <v>0</v>
      </c>
      <c r="E174" s="4" t="s">
        <v>1041</v>
      </c>
      <c r="F174" s="4" t="s">
        <v>450</v>
      </c>
      <c r="G174" s="4" t="s">
        <v>441</v>
      </c>
      <c r="H174" s="1">
        <f t="shared" si="15"/>
        <v>0.002758</v>
      </c>
      <c r="I174" s="1">
        <f t="shared" si="16"/>
        <v>0</v>
      </c>
      <c r="J174" s="1" t="str">
        <f t="shared" si="17"/>
        <v>$0-$50</v>
      </c>
    </row>
    <row r="175" spans="1:10">
      <c r="A175" s="4" t="s">
        <v>125</v>
      </c>
      <c r="B175" s="4" t="s">
        <v>1042</v>
      </c>
      <c r="C175" s="4" t="s">
        <v>1043</v>
      </c>
      <c r="D175" s="4">
        <v>0.0041</v>
      </c>
      <c r="E175" s="4" t="s">
        <v>1044</v>
      </c>
      <c r="F175" s="4" t="s">
        <v>1045</v>
      </c>
      <c r="G175" s="4" t="s">
        <v>1046</v>
      </c>
      <c r="H175" s="1">
        <f t="shared" si="15"/>
        <v>0.005687</v>
      </c>
      <c r="I175" s="1">
        <f t="shared" si="16"/>
        <v>248901</v>
      </c>
      <c r="J175" s="1" t="str">
        <f t="shared" si="17"/>
        <v>$0-$50</v>
      </c>
    </row>
    <row r="176" spans="1:10">
      <c r="A176" s="4" t="s">
        <v>102</v>
      </c>
      <c r="B176" s="4" t="s">
        <v>1047</v>
      </c>
      <c r="C176" s="4" t="s">
        <v>1048</v>
      </c>
      <c r="D176" s="4">
        <v>0.0166</v>
      </c>
      <c r="E176" s="4" t="s">
        <v>1049</v>
      </c>
      <c r="F176" s="4" t="s">
        <v>1050</v>
      </c>
      <c r="G176" s="4" t="s">
        <v>1051</v>
      </c>
      <c r="H176" s="1">
        <f t="shared" si="15"/>
        <v>2.63</v>
      </c>
      <c r="I176" s="1">
        <f t="shared" si="16"/>
        <v>650212</v>
      </c>
      <c r="J176" s="1" t="str">
        <f t="shared" si="17"/>
        <v>$0-$50</v>
      </c>
    </row>
    <row r="177" spans="1:10">
      <c r="A177" s="4" t="s">
        <v>130</v>
      </c>
      <c r="B177" s="4" t="s">
        <v>1052</v>
      </c>
      <c r="C177" s="4" t="s">
        <v>1053</v>
      </c>
      <c r="D177" s="4">
        <v>0.0072</v>
      </c>
      <c r="E177" s="4" t="s">
        <v>1054</v>
      </c>
      <c r="F177" s="4" t="s">
        <v>1055</v>
      </c>
      <c r="G177" s="4" t="s">
        <v>1056</v>
      </c>
      <c r="H177" s="1">
        <f t="shared" si="15"/>
        <v>0.07225</v>
      </c>
      <c r="I177" s="1">
        <f t="shared" si="16"/>
        <v>225992</v>
      </c>
      <c r="J177" s="1" t="str">
        <f t="shared" si="17"/>
        <v>$0-$50</v>
      </c>
    </row>
    <row r="178" spans="1:10">
      <c r="A178" s="4" t="s">
        <v>176</v>
      </c>
      <c r="B178" s="4" t="s">
        <v>1057</v>
      </c>
      <c r="C178" s="4" t="s">
        <v>1058</v>
      </c>
      <c r="D178" s="4">
        <v>0.0033</v>
      </c>
      <c r="E178" s="4" t="s">
        <v>1059</v>
      </c>
      <c r="F178" s="4" t="s">
        <v>1060</v>
      </c>
      <c r="G178" s="4" t="s">
        <v>1061</v>
      </c>
      <c r="H178" s="1">
        <f t="shared" si="15"/>
        <v>0.002739</v>
      </c>
      <c r="I178" s="1">
        <f t="shared" si="16"/>
        <v>9317</v>
      </c>
      <c r="J178" s="1" t="str">
        <f t="shared" si="17"/>
        <v>$0-$50</v>
      </c>
    </row>
    <row r="179" spans="1:10">
      <c r="A179" s="4" t="s">
        <v>148</v>
      </c>
      <c r="B179" s="4" t="s">
        <v>1062</v>
      </c>
      <c r="C179" s="4" t="s">
        <v>1063</v>
      </c>
      <c r="D179" s="4">
        <v>0.0162</v>
      </c>
      <c r="E179" s="4" t="s">
        <v>1064</v>
      </c>
      <c r="F179" s="4" t="s">
        <v>1065</v>
      </c>
      <c r="G179" s="4" t="s">
        <v>1066</v>
      </c>
      <c r="H179" s="1">
        <f t="shared" si="15"/>
        <v>0.338</v>
      </c>
      <c r="I179" s="1">
        <f t="shared" si="16"/>
        <v>93501</v>
      </c>
      <c r="J179" s="1" t="str">
        <f t="shared" si="17"/>
        <v>$0-$50</v>
      </c>
    </row>
    <row r="180" spans="1:10">
      <c r="A180" s="4" t="s">
        <v>151</v>
      </c>
      <c r="B180" s="4" t="s">
        <v>1067</v>
      </c>
      <c r="C180" s="4" t="s">
        <v>1068</v>
      </c>
      <c r="D180" s="4">
        <v>0.0009</v>
      </c>
      <c r="E180" s="4" t="s">
        <v>1069</v>
      </c>
      <c r="F180" s="4" t="s">
        <v>1070</v>
      </c>
      <c r="G180" s="4" t="s">
        <v>1071</v>
      </c>
      <c r="H180" s="1">
        <f t="shared" si="15"/>
        <v>0.088474</v>
      </c>
      <c r="I180" s="1">
        <f t="shared" si="16"/>
        <v>86410</v>
      </c>
      <c r="J180" s="1" t="str">
        <f t="shared" si="17"/>
        <v>$0-$50</v>
      </c>
    </row>
    <row r="181" spans="1:10">
      <c r="A181" s="4" t="s">
        <v>107</v>
      </c>
      <c r="B181" s="4" t="s">
        <v>1072</v>
      </c>
      <c r="C181" s="4" t="s">
        <v>1073</v>
      </c>
      <c r="D181" s="4">
        <v>0.0064</v>
      </c>
      <c r="E181" s="4" t="s">
        <v>1074</v>
      </c>
      <c r="F181" s="4" t="s">
        <v>1075</v>
      </c>
      <c r="G181" s="4" t="s">
        <v>1076</v>
      </c>
      <c r="H181" s="1">
        <f t="shared" si="15"/>
        <v>0.0179</v>
      </c>
      <c r="I181" s="1">
        <f t="shared" si="16"/>
        <v>475091</v>
      </c>
      <c r="J181" s="1" t="str">
        <f t="shared" si="17"/>
        <v>$0-$50</v>
      </c>
    </row>
    <row r="182" spans="1:10">
      <c r="A182" s="4" t="s">
        <v>104</v>
      </c>
      <c r="B182" s="4" t="s">
        <v>1077</v>
      </c>
      <c r="C182" s="4" t="s">
        <v>1078</v>
      </c>
      <c r="D182" s="4">
        <v>0.0014</v>
      </c>
      <c r="E182" s="4" t="s">
        <v>1079</v>
      </c>
      <c r="F182" s="4" t="s">
        <v>1080</v>
      </c>
      <c r="G182" s="4" t="s">
        <v>1081</v>
      </c>
      <c r="H182" s="1">
        <f t="shared" si="15"/>
        <v>0.055381</v>
      </c>
      <c r="I182" s="1">
        <f t="shared" si="16"/>
        <v>537558</v>
      </c>
      <c r="J182" s="1" t="str">
        <f t="shared" si="17"/>
        <v>$0-$50</v>
      </c>
    </row>
    <row r="183" spans="1:10">
      <c r="A183" s="4" t="s">
        <v>135</v>
      </c>
      <c r="B183" s="4" t="s">
        <v>1082</v>
      </c>
      <c r="C183" s="4" t="s">
        <v>1083</v>
      </c>
      <c r="D183" s="4">
        <v>0.0013</v>
      </c>
      <c r="E183" s="4" t="s">
        <v>1084</v>
      </c>
      <c r="F183" s="4" t="s">
        <v>1085</v>
      </c>
      <c r="G183" s="4" t="s">
        <v>1086</v>
      </c>
      <c r="H183" s="1">
        <f t="shared" si="15"/>
        <v>0.03111</v>
      </c>
      <c r="I183" s="1">
        <f t="shared" si="16"/>
        <v>181224</v>
      </c>
      <c r="J183" s="1" t="str">
        <f t="shared" si="17"/>
        <v>$0-$50</v>
      </c>
    </row>
    <row r="184" spans="1:10">
      <c r="A184" s="4" t="s">
        <v>162</v>
      </c>
      <c r="B184" s="4" t="s">
        <v>1087</v>
      </c>
      <c r="C184" s="4" t="s">
        <v>1088</v>
      </c>
      <c r="D184" s="4">
        <v>0.0023</v>
      </c>
      <c r="E184" s="4" t="s">
        <v>1089</v>
      </c>
      <c r="F184" s="4" t="s">
        <v>1090</v>
      </c>
      <c r="G184" s="4" t="s">
        <v>1091</v>
      </c>
      <c r="H184" s="1">
        <f t="shared" si="15"/>
        <v>0.005725</v>
      </c>
      <c r="I184" s="1">
        <f t="shared" si="16"/>
        <v>55232</v>
      </c>
      <c r="J184" s="1" t="str">
        <f t="shared" si="17"/>
        <v>$0-$50</v>
      </c>
    </row>
    <row r="185" spans="1:10">
      <c r="A185" s="4" t="s">
        <v>126</v>
      </c>
      <c r="B185" s="4" t="s">
        <v>1092</v>
      </c>
      <c r="C185" s="4" t="s">
        <v>1093</v>
      </c>
      <c r="D185" s="4">
        <v>0.0033</v>
      </c>
      <c r="E185" s="4" t="s">
        <v>1094</v>
      </c>
      <c r="F185" s="4" t="s">
        <v>1095</v>
      </c>
      <c r="G185" s="4" t="s">
        <v>1096</v>
      </c>
      <c r="H185" s="1">
        <f t="shared" si="15"/>
        <v>0.052193</v>
      </c>
      <c r="I185" s="1">
        <f t="shared" si="16"/>
        <v>238266</v>
      </c>
      <c r="J185" s="1" t="str">
        <f t="shared" si="17"/>
        <v>$0-$50</v>
      </c>
    </row>
    <row r="186" spans="1:10">
      <c r="A186" s="4" t="s">
        <v>193</v>
      </c>
      <c r="B186" s="4" t="s">
        <v>1097</v>
      </c>
      <c r="C186" s="4" t="s">
        <v>1098</v>
      </c>
      <c r="D186" s="4">
        <v>0</v>
      </c>
      <c r="E186" s="4" t="s">
        <v>1099</v>
      </c>
      <c r="F186" s="4" t="s">
        <v>450</v>
      </c>
      <c r="G186" s="4" t="s">
        <v>1100</v>
      </c>
      <c r="H186" s="1">
        <f t="shared" si="15"/>
        <v>0.003197</v>
      </c>
      <c r="I186" s="1">
        <f t="shared" si="16"/>
        <v>0</v>
      </c>
      <c r="J186" s="1" t="str">
        <f t="shared" si="17"/>
        <v>$0-$50</v>
      </c>
    </row>
    <row r="187" spans="1:10">
      <c r="A187" s="4" t="s">
        <v>163</v>
      </c>
      <c r="B187" s="4" t="s">
        <v>1101</v>
      </c>
      <c r="C187" s="4" t="s">
        <v>1102</v>
      </c>
      <c r="D187" s="4">
        <v>0.0041</v>
      </c>
      <c r="E187" s="4" t="s">
        <v>1103</v>
      </c>
      <c r="F187" s="4" t="s">
        <v>1104</v>
      </c>
      <c r="G187" s="4" t="s">
        <v>1105</v>
      </c>
      <c r="H187" s="1">
        <f t="shared" si="15"/>
        <v>0.3023</v>
      </c>
      <c r="I187" s="1">
        <f t="shared" si="16"/>
        <v>49762</v>
      </c>
      <c r="J187" s="1" t="str">
        <f t="shared" si="17"/>
        <v>$0-$50</v>
      </c>
    </row>
    <row r="188" spans="1:10">
      <c r="A188" s="4" t="s">
        <v>180</v>
      </c>
      <c r="B188" s="4" t="s">
        <v>1106</v>
      </c>
      <c r="C188" s="4" t="s">
        <v>1107</v>
      </c>
      <c r="D188" s="4">
        <v>0.0011</v>
      </c>
      <c r="E188" s="4" t="s">
        <v>1108</v>
      </c>
      <c r="F188" s="4" t="s">
        <v>1109</v>
      </c>
      <c r="G188" s="4" t="s">
        <v>1110</v>
      </c>
      <c r="H188" s="1">
        <f t="shared" si="15"/>
        <v>0.038</v>
      </c>
      <c r="I188" s="1">
        <f t="shared" si="16"/>
        <v>1268</v>
      </c>
      <c r="J188" s="1" t="str">
        <f t="shared" si="17"/>
        <v>$0-$50</v>
      </c>
    </row>
    <row r="189" spans="1:10">
      <c r="A189" s="4" t="s">
        <v>179</v>
      </c>
      <c r="B189" s="4" t="s">
        <v>1111</v>
      </c>
      <c r="C189" s="4" t="s">
        <v>1112</v>
      </c>
      <c r="D189" s="4">
        <v>0.0105</v>
      </c>
      <c r="E189" s="4" t="s">
        <v>1113</v>
      </c>
      <c r="F189" s="4" t="s">
        <v>1114</v>
      </c>
      <c r="G189" s="4" t="s">
        <v>1115</v>
      </c>
      <c r="H189" s="1">
        <f t="shared" si="15"/>
        <v>0.083632</v>
      </c>
      <c r="I189" s="1">
        <f t="shared" si="16"/>
        <v>3030</v>
      </c>
      <c r="J189" s="1" t="str">
        <f t="shared" si="17"/>
        <v>$0-$50</v>
      </c>
    </row>
    <row r="190" spans="1:10">
      <c r="A190" s="4" t="s">
        <v>156</v>
      </c>
      <c r="B190" s="4" t="s">
        <v>1116</v>
      </c>
      <c r="C190" s="4" t="s">
        <v>1117</v>
      </c>
      <c r="D190" s="4">
        <v>0.0183</v>
      </c>
      <c r="E190" s="4" t="s">
        <v>1118</v>
      </c>
      <c r="F190" s="4" t="s">
        <v>1119</v>
      </c>
      <c r="G190" s="4" t="s">
        <v>1120</v>
      </c>
      <c r="H190" s="1">
        <f t="shared" si="15"/>
        <v>0.003261</v>
      </c>
      <c r="I190" s="1">
        <f t="shared" si="16"/>
        <v>69711</v>
      </c>
      <c r="J190" s="1" t="str">
        <f t="shared" si="17"/>
        <v>$0-$50</v>
      </c>
    </row>
    <row r="191" spans="1:10">
      <c r="A191" s="4" t="s">
        <v>190</v>
      </c>
      <c r="B191" s="4" t="s">
        <v>1121</v>
      </c>
      <c r="C191" s="4" t="s">
        <v>1122</v>
      </c>
      <c r="D191" s="4">
        <v>0</v>
      </c>
      <c r="E191" s="4" t="s">
        <v>1123</v>
      </c>
      <c r="F191" s="4" t="s">
        <v>450</v>
      </c>
      <c r="G191" s="4" t="s">
        <v>844</v>
      </c>
      <c r="H191" s="1">
        <f t="shared" si="15"/>
        <v>0.2167</v>
      </c>
      <c r="I191" s="1">
        <f t="shared" si="16"/>
        <v>0</v>
      </c>
      <c r="J191" s="1" t="str">
        <f t="shared" si="17"/>
        <v>$0-$50</v>
      </c>
    </row>
    <row r="192" spans="1:10">
      <c r="A192" s="4" t="s">
        <v>149</v>
      </c>
      <c r="B192" s="4" t="s">
        <v>1124</v>
      </c>
      <c r="C192" s="4" t="s">
        <v>1125</v>
      </c>
      <c r="D192" s="4">
        <v>0.0003</v>
      </c>
      <c r="E192" s="4" t="s">
        <v>1126</v>
      </c>
      <c r="F192" s="4" t="s">
        <v>1127</v>
      </c>
      <c r="G192" s="4" t="s">
        <v>1128</v>
      </c>
      <c r="H192" s="1">
        <f t="shared" si="15"/>
        <v>0.02041</v>
      </c>
      <c r="I192" s="1">
        <f t="shared" si="16"/>
        <v>90761</v>
      </c>
      <c r="J192" s="1" t="str">
        <f t="shared" si="17"/>
        <v>$0-$50</v>
      </c>
    </row>
    <row r="193" spans="1:10">
      <c r="A193" s="4" t="s">
        <v>110</v>
      </c>
      <c r="B193" s="4" t="s">
        <v>1129</v>
      </c>
      <c r="C193" s="4" t="s">
        <v>1130</v>
      </c>
      <c r="D193" s="4">
        <v>0.0427</v>
      </c>
      <c r="E193" s="4" t="s">
        <v>1131</v>
      </c>
      <c r="F193" s="4" t="s">
        <v>1132</v>
      </c>
      <c r="G193" s="4" t="s">
        <v>441</v>
      </c>
      <c r="H193" s="1">
        <f t="shared" si="15"/>
        <v>0.001755</v>
      </c>
      <c r="I193" s="1">
        <f t="shared" si="16"/>
        <v>403029</v>
      </c>
      <c r="J193" s="1" t="str">
        <f t="shared" si="17"/>
        <v>$0-$50</v>
      </c>
    </row>
    <row r="194" spans="1:10">
      <c r="A194" s="4" t="s">
        <v>183</v>
      </c>
      <c r="B194" s="4" t="s">
        <v>1133</v>
      </c>
      <c r="C194" s="4" t="s">
        <v>1134</v>
      </c>
      <c r="D194" s="4">
        <v>0.0074</v>
      </c>
      <c r="E194" s="4" t="s">
        <v>1135</v>
      </c>
      <c r="F194" s="4" t="s">
        <v>1136</v>
      </c>
      <c r="G194" s="4" t="s">
        <v>1137</v>
      </c>
      <c r="H194" s="1">
        <f t="shared" si="15"/>
        <v>0.03375</v>
      </c>
      <c r="I194" s="1">
        <f t="shared" si="16"/>
        <v>637</v>
      </c>
      <c r="J194" s="1" t="str">
        <f t="shared" si="17"/>
        <v>$0-$50</v>
      </c>
    </row>
    <row r="195" spans="1:10">
      <c r="A195" s="4" t="s">
        <v>155</v>
      </c>
      <c r="B195" s="4" t="s">
        <v>1138</v>
      </c>
      <c r="C195" s="4" t="s">
        <v>1139</v>
      </c>
      <c r="D195" s="4">
        <v>0.0014</v>
      </c>
      <c r="E195" s="4" t="s">
        <v>1140</v>
      </c>
      <c r="F195" s="4" t="s">
        <v>1141</v>
      </c>
      <c r="G195" s="4" t="s">
        <v>1142</v>
      </c>
      <c r="H195" s="1">
        <f>VALUE(SUBSTITUTE(C195,"$",""))</f>
        <v>0.01587</v>
      </c>
      <c r="I195" s="1">
        <f>IFERROR(VALUE(SUBSTITUTE(SUBSTITUTE(F195,"$",""),",","")),0)</f>
        <v>73794</v>
      </c>
      <c r="J195" s="1" t="str">
        <f>IF(H195&lt;=50,"$0-$50","Above $50")</f>
        <v>$0-$50</v>
      </c>
    </row>
    <row r="196" spans="1:10">
      <c r="A196" s="4" t="s">
        <v>144</v>
      </c>
      <c r="B196" s="4" t="s">
        <v>1143</v>
      </c>
      <c r="C196" s="4" t="s">
        <v>1144</v>
      </c>
      <c r="D196" s="4">
        <v>0.0013</v>
      </c>
      <c r="E196" s="4" t="s">
        <v>1145</v>
      </c>
      <c r="F196" s="4" t="s">
        <v>1146</v>
      </c>
      <c r="G196" s="4" t="s">
        <v>1147</v>
      </c>
      <c r="H196" s="1">
        <f>VALUE(SUBSTITUTE(C196,"$",""))</f>
        <v>0.006551</v>
      </c>
      <c r="I196" s="1">
        <f>IFERROR(VALUE(SUBSTITUTE(SUBSTITUTE(F196,"$",""),",","")),0)</f>
        <v>99738</v>
      </c>
      <c r="J196" s="1" t="str">
        <f>IF(H196&lt;=50,"$0-$50","Above $50")</f>
        <v>$0-$50</v>
      </c>
    </row>
    <row r="197" spans="1:10">
      <c r="A197" s="4" t="s">
        <v>161</v>
      </c>
      <c r="B197" s="4" t="s">
        <v>1148</v>
      </c>
      <c r="C197" s="4" t="s">
        <v>1149</v>
      </c>
      <c r="D197" s="4">
        <v>0.0058</v>
      </c>
      <c r="E197" s="4" t="s">
        <v>1150</v>
      </c>
      <c r="F197" s="4" t="s">
        <v>1151</v>
      </c>
      <c r="G197" s="4" t="s">
        <v>287</v>
      </c>
      <c r="H197" s="1">
        <f>VALUE(SUBSTITUTE(C197,"$",""))</f>
        <v>0.001085</v>
      </c>
      <c r="I197" s="1">
        <f>IFERROR(VALUE(SUBSTITUTE(SUBSTITUTE(F197,"$",""),",","")),0)</f>
        <v>57798</v>
      </c>
      <c r="J197" s="1" t="str">
        <f>IF(H197&lt;=50,"$0-$50","Above $50")</f>
        <v>$0-$50</v>
      </c>
    </row>
    <row r="198" spans="1:10">
      <c r="A198" s="4" t="s">
        <v>169</v>
      </c>
      <c r="B198" s="4" t="s">
        <v>1152</v>
      </c>
      <c r="C198" s="4" t="s">
        <v>1153</v>
      </c>
      <c r="D198" s="4">
        <v>0.0002</v>
      </c>
      <c r="E198" s="4" t="s">
        <v>1154</v>
      </c>
      <c r="F198" s="4" t="s">
        <v>1155</v>
      </c>
      <c r="G198" s="4" t="s">
        <v>1156</v>
      </c>
      <c r="H198" s="1">
        <f>VALUE(SUBSTITUTE(C198,"$",""))</f>
        <v>5.854e-5</v>
      </c>
      <c r="I198" s="1">
        <f>IFERROR(VALUE(SUBSTITUTE(SUBSTITUTE(F198,"$",""),",","")),0)</f>
        <v>28022</v>
      </c>
      <c r="J198" s="1" t="str">
        <f>IF(H198&lt;=50,"$0-$50","Above $50")</f>
        <v>$0-$50</v>
      </c>
    </row>
    <row r="199" spans="1:10">
      <c r="A199" s="4" t="s">
        <v>185</v>
      </c>
      <c r="B199" s="4" t="s">
        <v>1157</v>
      </c>
      <c r="C199" s="4" t="s">
        <v>1158</v>
      </c>
      <c r="D199" s="4">
        <v>0</v>
      </c>
      <c r="E199" s="4" t="s">
        <v>1159</v>
      </c>
      <c r="F199" s="4" t="s">
        <v>1160</v>
      </c>
      <c r="G199" s="4" t="s">
        <v>1161</v>
      </c>
      <c r="H199" s="1">
        <f>VALUE(SUBSTITUTE(C199,"$",""))</f>
        <v>0.007252</v>
      </c>
      <c r="I199" s="1">
        <f>IFERROR(VALUE(SUBSTITUTE(SUBSTITUTE(F199,"$",""),",","")),0)</f>
        <v>52</v>
      </c>
      <c r="J199" s="1" t="str">
        <f>IF(H199&lt;=50,"$0-$50","Above $50")</f>
        <v>$0-$50</v>
      </c>
    </row>
    <row r="200" spans="1:10">
      <c r="A200" s="4" t="s">
        <v>142</v>
      </c>
      <c r="B200" s="4" t="s">
        <v>142</v>
      </c>
      <c r="C200" s="4" t="s">
        <v>1162</v>
      </c>
      <c r="D200" s="4">
        <v>0.0026</v>
      </c>
      <c r="E200" s="4" t="s">
        <v>1163</v>
      </c>
      <c r="F200" s="4" t="s">
        <v>1164</v>
      </c>
      <c r="G200" s="4" t="s">
        <v>1165</v>
      </c>
      <c r="H200" s="1">
        <f>VALUE(SUBSTITUTE(C200,"$",""))</f>
        <v>0.001871</v>
      </c>
      <c r="I200" s="1">
        <f>IFERROR(VALUE(SUBSTITUTE(SUBSTITUTE(F200,"$",""),",","")),0)</f>
        <v>105335</v>
      </c>
      <c r="J200" s="1" t="str">
        <f>IF(H200&lt;=50,"$0-$50","Above $50")</f>
        <v>$0-$50</v>
      </c>
    </row>
    <row r="201" spans="1:10">
      <c r="A201" s="4" t="s">
        <v>196</v>
      </c>
      <c r="B201" s="4" t="s">
        <v>1166</v>
      </c>
      <c r="C201" s="4" t="s">
        <v>1167</v>
      </c>
      <c r="D201" s="4">
        <v>0</v>
      </c>
      <c r="E201" s="4" t="s">
        <v>1168</v>
      </c>
      <c r="F201" s="4" t="s">
        <v>450</v>
      </c>
      <c r="G201" s="4" t="s">
        <v>654</v>
      </c>
      <c r="H201" s="1">
        <f>VALUE(SUBSTITUTE(C201,"$",""))</f>
        <v>0.003466</v>
      </c>
      <c r="I201" s="1">
        <f>IFERROR(VALUE(SUBSTITUTE(SUBSTITUTE(F201,"$",""),",","")),0)</f>
        <v>0</v>
      </c>
      <c r="J201" s="1" t="str">
        <f>IF(H201&lt;=50,"$0-$50","Above $50")</f>
        <v>$0-$50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PivotTable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2026-07-12T05:42:39Z</dcterms:created>
  <dcterms:modified xsi:type="dcterms:W3CDTF">2026-07-12T07:05:54Z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22F2434152F641BEB9450CD56BA954EE_11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1</vt:i4>
  </property>
</Properties>
</file>